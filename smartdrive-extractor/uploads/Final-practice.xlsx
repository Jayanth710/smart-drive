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peye9704_colorado_edu/Documents/2025/Teach/CSCI5722-S25/Final/"/>
    </mc:Choice>
  </mc:AlternateContent>
  <xr:revisionPtr revIDLastSave="0" documentId="8_{04ABF6A2-B481-46EA-B290-81FC2339726B}" xr6:coauthVersionLast="47" xr6:coauthVersionMax="47" xr10:uidLastSave="{00000000-0000-0000-0000-000000000000}"/>
  <bookViews>
    <workbookView xWindow="17120" yWindow="1440" windowWidth="29400" windowHeight="23940" xr2:uid="{01FA6312-44DC-F148-9B6E-D00F78E99429}"/>
  </bookViews>
  <sheets>
    <sheet name="blank" sheetId="24" r:id="rId1"/>
    <sheet name="solution" sheetId="19" r:id="rId2"/>
  </sheets>
  <definedNames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FXY">_xlfn.LAMBDA(_xlpm.f,_xlpm.d, _xlfn.MAKEARRAY(_xlpm.d*2+1,_xlpm.d*2+1,_xlfn.LAMBDA(_xlpm.y,_xlpm.x,_xlpm.f(_xlpm.x-_xlpm.d-1,_xlpm.y-_xlpm.d-1))))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70" i="19" l="1" a="1"/>
  <c r="AK570" i="19" s="1"/>
  <c r="AK565" i="19" a="1"/>
  <c r="AK565" i="19" s="1"/>
  <c r="AD546" i="24" a="1"/>
  <c r="N546" i="24"/>
  <c r="N546" i="24" a="1"/>
  <c r="C526" i="24"/>
  <c r="C528" i="24" s="1"/>
  <c r="W503" i="24" a="1"/>
  <c r="W503" i="24" s="1"/>
  <c r="W480" i="24" a="1"/>
  <c r="W480" i="24" s="1"/>
  <c r="C372" i="24"/>
  <c r="C374" i="24" s="1"/>
  <c r="D331" i="24"/>
  <c r="D333" i="24" s="1"/>
  <c r="C331" i="24"/>
  <c r="C333" i="24" s="1"/>
  <c r="G331" i="24"/>
  <c r="G333" i="24" s="1"/>
  <c r="E300" i="24"/>
  <c r="E302" i="24" s="1"/>
  <c r="D300" i="24"/>
  <c r="D302" i="24" s="1"/>
  <c r="O283" i="24"/>
  <c r="O289" i="24" s="1" a="1"/>
  <c r="O289" i="24" s="1"/>
  <c r="O292" i="24" s="1" a="1"/>
  <c r="O292" i="24" s="1"/>
  <c r="X289" i="24" a="1"/>
  <c r="X289" i="24" s="1"/>
  <c r="U289" i="24" a="1"/>
  <c r="U289" i="24" s="1"/>
  <c r="R278" i="24" a="1"/>
  <c r="R278" i="24" s="1"/>
  <c r="O278" i="24" a="1"/>
  <c r="O278" i="24" s="1"/>
  <c r="O283" i="24" s="1" a="1"/>
  <c r="O238" i="24" a="1"/>
  <c r="O238" i="24" s="1"/>
  <c r="C214" i="24"/>
  <c r="C216" i="24" s="1"/>
  <c r="D214" i="24"/>
  <c r="D216" i="24" s="1"/>
  <c r="C105" i="24"/>
  <c r="C107" i="24" s="1"/>
  <c r="J48" i="24" a="1"/>
  <c r="J48" i="24" s="1"/>
  <c r="C67" i="24"/>
  <c r="C69" i="24" s="1"/>
  <c r="E14" i="24"/>
  <c r="E16" i="24" s="1"/>
  <c r="C14" i="24"/>
  <c r="C16" i="24" s="1"/>
  <c r="AD546" i="19" a="1"/>
  <c r="N546" i="19" a="1"/>
  <c r="H331" i="24" l="1"/>
  <c r="H333" i="24" s="1"/>
  <c r="C300" i="24"/>
  <c r="C302" i="24" s="1"/>
  <c r="R289" i="24" a="1"/>
  <c r="R289" i="24" s="1"/>
  <c r="F300" i="24" s="1"/>
  <c r="F302" i="24" s="1"/>
  <c r="I300" i="24"/>
  <c r="I302" i="24" s="1"/>
  <c r="D526" i="24"/>
  <c r="D528" i="24" s="1"/>
  <c r="U63" i="24" a="1"/>
  <c r="U63" i="24" s="1"/>
  <c r="P48" i="24" a="1"/>
  <c r="P48" i="24" s="1"/>
  <c r="T48" i="24" s="1" a="1"/>
  <c r="T48" i="24" s="1"/>
  <c r="F434" i="24"/>
  <c r="F436" i="24" s="1"/>
  <c r="F67" i="24"/>
  <c r="F69" i="24" s="1"/>
  <c r="E331" i="24"/>
  <c r="E333" i="24" s="1"/>
  <c r="AD546" i="24"/>
  <c r="C255" i="24"/>
  <c r="C257" i="24" s="1"/>
  <c r="E434" i="24"/>
  <c r="E436" i="24" s="1"/>
  <c r="D434" i="24"/>
  <c r="D436" i="24" s="1"/>
  <c r="C577" i="24"/>
  <c r="C579" i="24" s="1"/>
  <c r="C434" i="24"/>
  <c r="C436" i="24" s="1"/>
  <c r="D14" i="24"/>
  <c r="D16" i="24" s="1"/>
  <c r="N546" i="19"/>
  <c r="N552" i="19" s="1" a="1"/>
  <c r="N552" i="19" s="1"/>
  <c r="Q552" i="19" a="1"/>
  <c r="Q552" i="19" s="1"/>
  <c r="P552" i="19" a="1"/>
  <c r="P552" i="19" s="1"/>
  <c r="O552" i="19" a="1"/>
  <c r="AF552" i="19" a="1"/>
  <c r="AF552" i="19" s="1"/>
  <c r="AE552" i="19" a="1"/>
  <c r="AE552" i="19" s="1"/>
  <c r="AD546" i="19"/>
  <c r="AD552" i="19" s="1" a="1"/>
  <c r="AD552" i="19" s="1"/>
  <c r="AG552" i="19" a="1"/>
  <c r="AG552" i="19" s="1"/>
  <c r="D255" i="24" l="1"/>
  <c r="D257" i="24" s="1"/>
  <c r="E214" i="24"/>
  <c r="E216" i="24" s="1"/>
  <c r="G526" i="24"/>
  <c r="G528" i="24" s="1"/>
  <c r="E526" i="24"/>
  <c r="E528" i="24" s="1"/>
  <c r="F526" i="24"/>
  <c r="F528" i="24" s="1"/>
  <c r="K331" i="24"/>
  <c r="K333" i="24" s="1"/>
  <c r="I331" i="24"/>
  <c r="I333" i="24" s="1"/>
  <c r="I214" i="24"/>
  <c r="I216" i="24" s="1"/>
  <c r="J214" i="24"/>
  <c r="J216" i="24" s="1"/>
  <c r="F331" i="24"/>
  <c r="F333" i="24" s="1"/>
  <c r="D372" i="24"/>
  <c r="D374" i="24" s="1"/>
  <c r="G434" i="24"/>
  <c r="G436" i="24" s="1"/>
  <c r="D105" i="24"/>
  <c r="D107" i="24" s="1"/>
  <c r="G105" i="24"/>
  <c r="G107" i="24" s="1"/>
  <c r="O552" i="19"/>
  <c r="C577" i="19"/>
  <c r="C579" i="19" s="1"/>
  <c r="J561" i="19" a="1"/>
  <c r="J561" i="19" s="1"/>
  <c r="F565" i="19" a="1"/>
  <c r="F565" i="19" s="1"/>
  <c r="J565" i="19" s="1" a="1"/>
  <c r="D577" i="19" s="1"/>
  <c r="D579" i="19" s="1"/>
  <c r="G67" i="24" l="1"/>
  <c r="G69" i="24" s="1"/>
  <c r="D577" i="24"/>
  <c r="D579" i="24" s="1"/>
  <c r="L331" i="24"/>
  <c r="L333" i="24" s="1"/>
  <c r="D67" i="24"/>
  <c r="D69" i="24" s="1"/>
  <c r="G300" i="24"/>
  <c r="G302" i="24" s="1"/>
  <c r="H300" i="24"/>
  <c r="H302" i="24" s="1"/>
  <c r="E372" i="24"/>
  <c r="E374" i="24" s="1"/>
  <c r="E105" i="24"/>
  <c r="E107" i="24" s="1"/>
  <c r="F214" i="24"/>
  <c r="F216" i="24" s="1"/>
  <c r="E255" i="24"/>
  <c r="E257" i="24" s="1"/>
  <c r="J565" i="19"/>
  <c r="O567" i="19" a="1"/>
  <c r="O567" i="19" s="1"/>
  <c r="L570" i="19" a="1"/>
  <c r="L570" i="19" s="1"/>
  <c r="O568" i="19" a="1"/>
  <c r="O568" i="19" s="1"/>
  <c r="M570" i="19" a="1"/>
  <c r="M570" i="19" s="1"/>
  <c r="K570" i="19" a="1"/>
  <c r="K570" i="19" s="1"/>
  <c r="O566" i="19" a="1"/>
  <c r="O566" i="19" s="1"/>
  <c r="J331" i="24" l="1"/>
  <c r="J333" i="24" s="1"/>
  <c r="F372" i="24"/>
  <c r="F374" i="24" s="1"/>
  <c r="G372" i="24"/>
  <c r="G374" i="24" s="1"/>
  <c r="F105" i="24"/>
  <c r="F107" i="24" s="1"/>
  <c r="G214" i="24"/>
  <c r="G216" i="24" s="1"/>
  <c r="E67" i="24"/>
  <c r="E69" i="24" s="1"/>
  <c r="J300" i="24"/>
  <c r="J302" i="24" s="1"/>
  <c r="F255" i="24"/>
  <c r="F257" i="24" s="1"/>
  <c r="J570" i="19" a="1"/>
  <c r="J570" i="19" s="1"/>
  <c r="O565" i="19" a="1"/>
  <c r="H214" i="24" l="1"/>
  <c r="H216" i="24" s="1"/>
  <c r="E577" i="24"/>
  <c r="E579" i="24" s="1"/>
  <c r="O565" i="19"/>
  <c r="E577" i="19"/>
  <c r="E579" i="19" s="1"/>
  <c r="Z565" i="19" a="1"/>
  <c r="Z570" i="19" a="1"/>
  <c r="K300" i="24" l="1"/>
  <c r="K302" i="24" s="1"/>
  <c r="L300" i="24"/>
  <c r="L302" i="24" s="1"/>
  <c r="G577" i="24"/>
  <c r="G579" i="24" s="1"/>
  <c r="I577" i="24"/>
  <c r="I579" i="24" s="1"/>
  <c r="L577" i="24"/>
  <c r="L579" i="24" s="1"/>
  <c r="H255" i="24"/>
  <c r="H257" i="24" s="1"/>
  <c r="K214" i="24"/>
  <c r="K216" i="24" s="1"/>
  <c r="G255" i="24"/>
  <c r="G257" i="24" s="1"/>
  <c r="L577" i="19"/>
  <c r="L579" i="19" s="1"/>
  <c r="Z570" i="19"/>
  <c r="AE570" i="19" s="1"/>
  <c r="I577" i="19" s="1"/>
  <c r="I579" i="19" s="1"/>
  <c r="G577" i="19"/>
  <c r="G579" i="19" s="1"/>
  <c r="K577" i="19"/>
  <c r="K579" i="19" s="1"/>
  <c r="Z565" i="19"/>
  <c r="AE565" i="19" s="1"/>
  <c r="H577" i="19" s="1"/>
  <c r="H579" i="19" s="1"/>
  <c r="F577" i="19"/>
  <c r="F579" i="19" s="1"/>
  <c r="F577" i="24" l="1"/>
  <c r="F579" i="24" s="1"/>
  <c r="L214" i="24"/>
  <c r="L216" i="24" s="1"/>
  <c r="K577" i="24"/>
  <c r="K579" i="24" s="1"/>
  <c r="AH565" i="19"/>
  <c r="J577" i="19" s="1"/>
  <c r="J579" i="19" s="1"/>
  <c r="K350" i="19" a="1"/>
  <c r="K350" i="19" s="1"/>
  <c r="K355" i="19" s="1" a="1"/>
  <c r="K355" i="19" s="1"/>
  <c r="K361" i="19" s="1" a="1"/>
  <c r="K361" i="19" s="1"/>
  <c r="K365" i="19" s="1" a="1"/>
  <c r="K365" i="19" s="1"/>
  <c r="H577" i="24" l="1"/>
  <c r="H579" i="24" s="1"/>
  <c r="J577" i="24"/>
  <c r="J579" i="24" s="1"/>
  <c r="J255" i="24"/>
  <c r="J257" i="24" s="1"/>
  <c r="I255" i="24"/>
  <c r="I257" i="24" s="1"/>
  <c r="C372" i="19"/>
  <c r="C374" i="19" s="1"/>
  <c r="D372" i="19"/>
  <c r="D374" i="19" s="1"/>
  <c r="E372" i="19"/>
  <c r="E374" i="19" s="1"/>
  <c r="F372" i="19"/>
  <c r="F374" i="19" s="1"/>
  <c r="G372" i="19"/>
  <c r="G374" i="19" s="1"/>
  <c r="L255" i="24" l="1"/>
  <c r="L257" i="24" s="1"/>
  <c r="K255" i="24"/>
  <c r="K257" i="24" s="1"/>
  <c r="N8" i="19" l="1" a="1"/>
  <c r="N8" i="19" s="1"/>
  <c r="E6" i="19"/>
  <c r="C14" i="19" s="1"/>
  <c r="C16" i="19" s="1"/>
  <c r="Y456" i="19" a="1"/>
  <c r="Y456" i="19" s="1"/>
  <c r="Y480" i="19" s="1" a="1"/>
  <c r="Y480" i="19" s="1"/>
  <c r="AB503" i="19" s="1" a="1"/>
  <c r="AB503" i="19" s="1"/>
  <c r="W503" i="19" a="1"/>
  <c r="W503" i="19" s="1"/>
  <c r="W480" i="19" a="1"/>
  <c r="W480" i="19" s="1"/>
  <c r="Y426" i="19" a="1"/>
  <c r="Y426" i="19" s="1"/>
  <c r="Z394" i="19" a="1"/>
  <c r="Z394" i="19" s="1"/>
  <c r="Z405" i="19" s="1" a="1"/>
  <c r="Z405" i="19" s="1"/>
  <c r="Z426" i="19" s="1" a="1"/>
  <c r="Z426" i="19" s="1"/>
  <c r="D14" i="19" l="1"/>
  <c r="D16" i="19" s="1"/>
  <c r="E14" i="19"/>
  <c r="E16" i="19" s="1"/>
  <c r="F526" i="19"/>
  <c r="F528" i="19" s="1"/>
  <c r="E526" i="19"/>
  <c r="E528" i="19" s="1"/>
  <c r="C526" i="19"/>
  <c r="C528" i="19" s="1"/>
  <c r="G526" i="19"/>
  <c r="G528" i="19" s="1"/>
  <c r="D526" i="19"/>
  <c r="D528" i="19" s="1"/>
  <c r="F434" i="19"/>
  <c r="F436" i="19" s="1"/>
  <c r="G434" i="19"/>
  <c r="G436" i="19" s="1"/>
  <c r="D434" i="19"/>
  <c r="D436" i="19" s="1"/>
  <c r="E434" i="19"/>
  <c r="E436" i="19" s="1"/>
  <c r="C434" i="19"/>
  <c r="C436" i="19" s="1"/>
  <c r="T57" i="19" l="1" a="1"/>
  <c r="T57" i="19" s="1"/>
  <c r="Y57" i="19" s="1" a="1"/>
  <c r="Y57" i="19" s="1"/>
  <c r="J48" i="19" a="1"/>
  <c r="J48" i="19" s="1"/>
  <c r="P48" i="19" s="1" a="1"/>
  <c r="P48" i="19" s="1"/>
  <c r="T48" i="19" s="1" a="1"/>
  <c r="T48" i="19" s="1"/>
  <c r="AD35" i="19" a="1"/>
  <c r="AD35" i="19" s="1"/>
  <c r="C67" i="19" l="1"/>
  <c r="C69" i="19" s="1"/>
  <c r="F67" i="19"/>
  <c r="F69" i="19" s="1"/>
  <c r="U63" i="19" a="1"/>
  <c r="U63" i="19" s="1"/>
  <c r="Y63" i="19" s="1" a="1"/>
  <c r="Y63" i="19" s="1"/>
  <c r="AD42" i="19" a="1"/>
  <c r="AD42" i="19" l="1"/>
  <c r="D67" i="19"/>
  <c r="AD48" i="19" a="1"/>
  <c r="AD57" i="19" a="1"/>
  <c r="AD57" i="19" s="1"/>
  <c r="AD63" i="19" s="1" a="1"/>
  <c r="AD63" i="19" l="1"/>
  <c r="G67" i="19"/>
  <c r="G69" i="19" s="1"/>
  <c r="AD48" i="19"/>
  <c r="E67" i="19"/>
  <c r="E69" i="19" s="1"/>
  <c r="E156" i="19" a="1"/>
  <c r="E156" i="19" s="1"/>
  <c r="E155" i="19" a="1"/>
  <c r="E155" i="19" s="1"/>
  <c r="E154" i="19" a="1"/>
  <c r="E154" i="19" s="1"/>
  <c r="E153" i="19" a="1"/>
  <c r="E153" i="19" s="1"/>
  <c r="E152" i="19" a="1"/>
  <c r="E152" i="19" s="1"/>
  <c r="E151" i="19" a="1"/>
  <c r="E151" i="19" s="1"/>
  <c r="E150" i="19" a="1"/>
  <c r="E150" i="19" s="1"/>
  <c r="E149" i="19" a="1"/>
  <c r="E149" i="19" s="1"/>
  <c r="E148" i="19" a="1"/>
  <c r="E148" i="19" s="1"/>
  <c r="AE122" i="19" a="1"/>
  <c r="AE122" i="19" s="1"/>
  <c r="C214" i="19" l="1"/>
  <c r="D214" i="19"/>
  <c r="D216" i="19" s="1"/>
  <c r="AE148" i="19" a="1"/>
  <c r="U179" i="19" a="1"/>
  <c r="J214" i="19" l="1"/>
  <c r="J216" i="19" s="1"/>
  <c r="I214" i="19"/>
  <c r="I216" i="19" s="1"/>
  <c r="AE148" i="19"/>
  <c r="AE159" i="19" s="1" a="1"/>
  <c r="AE159" i="19" s="1"/>
  <c r="E214" i="19"/>
  <c r="E216" i="19" s="1"/>
  <c r="U179" i="19"/>
  <c r="C216" i="19"/>
  <c r="AE164" i="19" l="1" a="1"/>
  <c r="F214" i="19"/>
  <c r="F216" i="19" s="1"/>
  <c r="AE164" i="19" l="1"/>
  <c r="AE169" i="19" s="1" a="1"/>
  <c r="G214" i="19"/>
  <c r="G216" i="19" s="1"/>
  <c r="AE169" i="19" l="1"/>
  <c r="AE179" i="19" s="1" a="1"/>
  <c r="H214" i="19"/>
  <c r="H216" i="19" s="1"/>
  <c r="AE179" i="19" l="1"/>
  <c r="AE206" i="19" s="1" a="1"/>
  <c r="K214" i="19"/>
  <c r="K216" i="19" s="1"/>
  <c r="L214" i="19" l="1"/>
  <c r="L216" i="19" s="1"/>
  <c r="AE206" i="19"/>
  <c r="M83" i="19" l="1" a="1"/>
  <c r="M83" i="19" s="1"/>
  <c r="M90" i="19" s="1" a="1"/>
  <c r="M90" i="19" s="1"/>
  <c r="M98" i="19" s="1" a="1"/>
  <c r="M98" i="19" s="1"/>
  <c r="M100" i="19" s="1" a="1"/>
  <c r="M100" i="19" s="1"/>
  <c r="F105" i="19" l="1"/>
  <c r="F107" i="19" s="1"/>
  <c r="C105" i="19"/>
  <c r="C107" i="19" s="1"/>
  <c r="D105" i="19"/>
  <c r="D107" i="19" s="1"/>
  <c r="E105" i="19"/>
  <c r="E107" i="19" s="1"/>
  <c r="G105" i="19"/>
  <c r="G107" i="19" s="1"/>
  <c r="O238" i="19" l="1" a="1"/>
  <c r="O238" i="19" s="1"/>
  <c r="O243" i="19" s="1" a="1"/>
  <c r="O243" i="19" s="1"/>
  <c r="R231" i="19" s="1" a="1"/>
  <c r="R231" i="19" s="1"/>
  <c r="R238" i="19" s="1" a="1"/>
  <c r="R238" i="19" s="1"/>
  <c r="R243" i="19" s="1" a="1"/>
  <c r="R243" i="19" s="1"/>
  <c r="U231" i="19" s="1" a="1"/>
  <c r="U231" i="19" s="1"/>
  <c r="U238" i="19" s="1" a="1"/>
  <c r="U238" i="19" s="1"/>
  <c r="U243" i="19" s="1" a="1"/>
  <c r="U243" i="19" s="1"/>
  <c r="X231" i="19" s="1" a="1"/>
  <c r="X231" i="19" s="1"/>
  <c r="X238" i="19" s="1" a="1"/>
  <c r="X238" i="19" s="1"/>
  <c r="X243" i="19" s="1" a="1"/>
  <c r="X243" i="19" s="1"/>
  <c r="X249" i="19" s="1" a="1"/>
  <c r="X249" i="19" s="1"/>
  <c r="AG231" i="19" s="1" a="1"/>
  <c r="AG231" i="19" s="1"/>
  <c r="AG238" i="19" s="1" a="1"/>
  <c r="AG238" i="19" s="1"/>
  <c r="AG242" i="19" s="1" a="1"/>
  <c r="AG242" i="19" s="1"/>
  <c r="C255" i="19" l="1"/>
  <c r="C257" i="19" s="1"/>
  <c r="E255" i="19"/>
  <c r="E257" i="19" s="1"/>
  <c r="F255" i="19"/>
  <c r="F257" i="19" s="1"/>
  <c r="D255" i="19"/>
  <c r="D257" i="19" s="1"/>
  <c r="AG247" i="19" a="1"/>
  <c r="AG247" i="19" s="1"/>
  <c r="AJ231" i="19" a="1"/>
  <c r="AJ231" i="19" s="1"/>
  <c r="AJ238" i="19" s="1" a="1"/>
  <c r="AJ238" i="19" s="1"/>
  <c r="AJ242" i="19" s="1" a="1"/>
  <c r="AJ242" i="19" s="1"/>
  <c r="AG250" i="19" l="1" a="1"/>
  <c r="AG250" i="19" s="1"/>
  <c r="G255" i="19"/>
  <c r="G257" i="19" s="1"/>
  <c r="AM231" i="19" a="1"/>
  <c r="AM231" i="19" s="1"/>
  <c r="AM238" i="19" s="1" a="1"/>
  <c r="AM238" i="19" s="1"/>
  <c r="AM242" i="19" s="1" a="1"/>
  <c r="AM242" i="19" s="1"/>
  <c r="AJ247" i="19" a="1"/>
  <c r="AJ247" i="19" s="1"/>
  <c r="AJ250" i="19" s="1" a="1"/>
  <c r="AJ250" i="19" s="1"/>
  <c r="H255" i="19" s="1"/>
  <c r="H257" i="19" s="1"/>
  <c r="AM247" i="19" l="1" a="1"/>
  <c r="AM247" i="19" s="1"/>
  <c r="AP231" i="19" a="1"/>
  <c r="AP231" i="19" s="1"/>
  <c r="AP238" i="19" l="1" a="1"/>
  <c r="AP238" i="19" s="1"/>
  <c r="AP242" i="19" s="1" a="1"/>
  <c r="J255" i="19"/>
  <c r="J257" i="19" s="1"/>
  <c r="AM250" i="19" a="1"/>
  <c r="AM250" i="19" s="1"/>
  <c r="I255" i="19"/>
  <c r="I257" i="19" s="1"/>
  <c r="AK280" i="19" a="1"/>
  <c r="AK280" i="19" s="1"/>
  <c r="AK285" i="19" s="1" a="1"/>
  <c r="AK285" i="19" s="1"/>
  <c r="AK291" i="19" s="1" a="1"/>
  <c r="AK291" i="19" s="1"/>
  <c r="AK294" i="19" s="1" a="1"/>
  <c r="AK294" i="19" s="1"/>
  <c r="X278" i="19" a="1"/>
  <c r="X278" i="19" s="1"/>
  <c r="X283" i="19" s="1" a="1"/>
  <c r="X283" i="19" s="1"/>
  <c r="X289" i="19" s="1" a="1"/>
  <c r="X289" i="19" s="1"/>
  <c r="X292" i="19" s="1" a="1"/>
  <c r="X292" i="19" s="1"/>
  <c r="U278" i="19" a="1"/>
  <c r="U278" i="19" s="1"/>
  <c r="U283" i="19" s="1" a="1"/>
  <c r="U283" i="19" s="1"/>
  <c r="U289" i="19" s="1" a="1"/>
  <c r="U289" i="19" s="1"/>
  <c r="U292" i="19" s="1" a="1"/>
  <c r="U292" i="19" s="1"/>
  <c r="R278" i="19" a="1"/>
  <c r="R278" i="19" s="1"/>
  <c r="R283" i="19" s="1" a="1"/>
  <c r="R283" i="19" s="1"/>
  <c r="R289" i="19" s="1" a="1"/>
  <c r="R289" i="19" s="1"/>
  <c r="R292" i="19" s="1" a="1"/>
  <c r="R292" i="19" s="1"/>
  <c r="F300" i="19" s="1"/>
  <c r="F302" i="19" s="1"/>
  <c r="O278" i="19" a="1"/>
  <c r="O278" i="19" s="1"/>
  <c r="O283" i="19" s="1" a="1"/>
  <c r="O283" i="19" s="1"/>
  <c r="O289" i="19" s="1" a="1"/>
  <c r="O289" i="19" s="1"/>
  <c r="O292" i="19" s="1" a="1"/>
  <c r="O292" i="19" s="1"/>
  <c r="G324" i="19" a="1"/>
  <c r="G324" i="19" s="1"/>
  <c r="O324" i="19" s="1" a="1"/>
  <c r="O324" i="19" s="1"/>
  <c r="G321" i="19" a="1"/>
  <c r="G321" i="19" s="1"/>
  <c r="O318" i="19" s="1" a="1"/>
  <c r="O318" i="19" s="1"/>
  <c r="G318" i="19" a="1"/>
  <c r="G318" i="19" s="1"/>
  <c r="S314" i="19" s="1" a="1"/>
  <c r="S314" i="19" s="1"/>
  <c r="AP242" i="19" l="1"/>
  <c r="AP247" i="19" s="1" a="1"/>
  <c r="AP247" i="19" s="1"/>
  <c r="AP250" i="19" s="1" a="1"/>
  <c r="AP250" i="19" s="1"/>
  <c r="L255" i="19" s="1"/>
  <c r="L257" i="19" s="1"/>
  <c r="K255" i="19"/>
  <c r="K257" i="19" s="1"/>
  <c r="C300" i="19"/>
  <c r="C302" i="19" s="1"/>
  <c r="D300" i="19"/>
  <c r="D302" i="19" s="1"/>
  <c r="E300" i="19"/>
  <c r="E302" i="19" s="1"/>
  <c r="I300" i="19"/>
  <c r="I302" i="19" s="1"/>
  <c r="D331" i="19"/>
  <c r="D333" i="19" s="1"/>
  <c r="S318" i="19" a="1"/>
  <c r="Y318" i="19" s="1" a="1"/>
  <c r="C331" i="19"/>
  <c r="C333" i="19" s="1"/>
  <c r="G331" i="19"/>
  <c r="G333" i="19" s="1"/>
  <c r="H331" i="19"/>
  <c r="H333" i="19" s="1"/>
  <c r="E331" i="19"/>
  <c r="E333" i="19" s="1"/>
  <c r="F331" i="19"/>
  <c r="F333" i="19" s="1"/>
  <c r="AN274" i="19" a="1"/>
  <c r="AN274" i="19" l="1"/>
  <c r="AN280" i="19" s="1" a="1"/>
  <c r="AN280" i="19" s="1"/>
  <c r="AN285" i="19" s="1" a="1"/>
  <c r="AN285" i="19" s="1"/>
  <c r="AN291" i="19" s="1" a="1"/>
  <c r="AN291" i="19" s="1"/>
  <c r="AN294" i="19" s="1" a="1"/>
  <c r="AN294" i="19" s="1"/>
  <c r="J300" i="19" s="1"/>
  <c r="H300" i="19"/>
  <c r="H302" i="19" s="1"/>
  <c r="G300" i="19"/>
  <c r="G302" i="19" s="1"/>
  <c r="Y318" i="19"/>
  <c r="L331" i="19"/>
  <c r="L333" i="19" s="1"/>
  <c r="Z318" i="19" a="1"/>
  <c r="Z318" i="19" s="1"/>
  <c r="K331" i="19" s="1"/>
  <c r="K333" i="19" s="1"/>
  <c r="AA318" i="19" a="1"/>
  <c r="AA318" i="19" s="1"/>
  <c r="S318" i="19"/>
  <c r="X318" i="19" s="1" a="1"/>
  <c r="X318" i="19" s="1"/>
  <c r="I331" i="19"/>
  <c r="I333" i="19" s="1"/>
  <c r="AQ274" i="19" l="1" a="1"/>
  <c r="AQ274" i="19" s="1"/>
  <c r="AQ280" i="19" s="1" a="1"/>
  <c r="AQ280" i="19" s="1"/>
  <c r="AQ285" i="19" s="1" a="1"/>
  <c r="AQ285" i="19" s="1"/>
  <c r="AQ291" i="19" s="1" a="1"/>
  <c r="AQ291" i="19" s="1"/>
  <c r="J302" i="19"/>
  <c r="X324" i="19" a="1"/>
  <c r="AQ294" i="19" l="1" a="1"/>
  <c r="AQ294" i="19" s="1"/>
  <c r="K300" i="19"/>
  <c r="K302" i="19" s="1"/>
  <c r="AT274" i="19" a="1"/>
  <c r="AT274" i="19" s="1"/>
  <c r="AT280" i="19" s="1" a="1"/>
  <c r="AT280" i="19" s="1"/>
  <c r="AT285" i="19" s="1" a="1"/>
  <c r="AT285" i="19" s="1"/>
  <c r="AT291" i="19" s="1" a="1"/>
  <c r="AT291" i="19" s="1"/>
  <c r="X324" i="19"/>
  <c r="J331" i="19"/>
  <c r="J333" i="19" s="1"/>
  <c r="AT294" i="19" l="1" a="1"/>
  <c r="AT294" i="19" s="1"/>
  <c r="L300" i="19"/>
  <c r="L302" i="19" s="1"/>
  <c r="D69" i="1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<sst xmlns="http://schemas.openxmlformats.org/spreadsheetml/2006/main" count="716" uniqueCount="198">
  <si>
    <t>Example</t>
  </si>
  <si>
    <t>Output</t>
  </si>
  <si>
    <t>Expected</t>
  </si>
  <si>
    <t>Passed</t>
  </si>
  <si>
    <t>Fundamental Matrix (F)</t>
  </si>
  <si>
    <t>Camera to Pixel Coordinates</t>
  </si>
  <si>
    <t>Camera Coordinates (Right)</t>
  </si>
  <si>
    <t>p1'</t>
  </si>
  <si>
    <t>p2'</t>
  </si>
  <si>
    <t>p3'</t>
  </si>
  <si>
    <t>p4'</t>
  </si>
  <si>
    <t>Xc</t>
  </si>
  <si>
    <t>Yc</t>
  </si>
  <si>
    <t>Zc</t>
  </si>
  <si>
    <t>Intrinsic (Right)</t>
  </si>
  <si>
    <t>Pixel Coordinates (Right)</t>
  </si>
  <si>
    <t>M'</t>
  </si>
  <si>
    <t>x1'</t>
  </si>
  <si>
    <t>x2'</t>
  </si>
  <si>
    <t>x3'</t>
  </si>
  <si>
    <t>x4'</t>
  </si>
  <si>
    <t>u</t>
  </si>
  <si>
    <t>v</t>
  </si>
  <si>
    <t>Intrinsic (Left)</t>
  </si>
  <si>
    <t>Inverse Instrinsic^T (Left)</t>
  </si>
  <si>
    <t>Essential</t>
  </si>
  <si>
    <t>Inverse Instrinsic (Right)</t>
  </si>
  <si>
    <t>M^T</t>
  </si>
  <si>
    <t>M^-1^T</t>
  </si>
  <si>
    <t>E = Tx · R</t>
  </si>
  <si>
    <t>M'^-1</t>
  </si>
  <si>
    <t>Camera Coordinates (Left)</t>
  </si>
  <si>
    <t>Pixel Coordinates (Left)</t>
  </si>
  <si>
    <t>p ·  E ·  p' = 0</t>
  </si>
  <si>
    <t>p^T</t>
  </si>
  <si>
    <t>x^T</t>
  </si>
  <si>
    <t>Compute F</t>
  </si>
  <si>
    <t>Fundamental</t>
  </si>
  <si>
    <t>M^-1^T · E</t>
  </si>
  <si>
    <t>F = M^-1^T · E · M'^-1</t>
  </si>
  <si>
    <t>x ·  F ·  x' = 0</t>
  </si>
  <si>
    <t>SVM (Linear)</t>
  </si>
  <si>
    <t>x1</t>
  </si>
  <si>
    <t>x2</t>
  </si>
  <si>
    <t>x3</t>
  </si>
  <si>
    <t>Linear Kernel</t>
  </si>
  <si>
    <t>K(x', x) = x' ⋅  x</t>
  </si>
  <si>
    <t>x5'</t>
  </si>
  <si>
    <t>x6'</t>
  </si>
  <si>
    <t>y'K</t>
  </si>
  <si>
    <t>y1'</t>
  </si>
  <si>
    <t>y2'</t>
  </si>
  <si>
    <t>y3'</t>
  </si>
  <si>
    <t>y4'</t>
  </si>
  <si>
    <t>y5'</t>
  </si>
  <si>
    <t>y6'</t>
  </si>
  <si>
    <t>Lagrange Multipliers</t>
  </si>
  <si>
    <t>a1</t>
  </si>
  <si>
    <t>a2</t>
  </si>
  <si>
    <t>a3</t>
  </si>
  <si>
    <t>a4</t>
  </si>
  <si>
    <t>a5</t>
  </si>
  <si>
    <t>a6</t>
  </si>
  <si>
    <t>b</t>
  </si>
  <si>
    <t>ay'K+b</t>
  </si>
  <si>
    <t>SIGN</t>
  </si>
  <si>
    <t>Regularization Parameter</t>
  </si>
  <si>
    <t>0 &lt;= a  &lt;=  C</t>
  </si>
  <si>
    <t>y1</t>
  </si>
  <si>
    <t>y2</t>
  </si>
  <si>
    <t>y3</t>
  </si>
  <si>
    <t>2D DFT</t>
  </si>
  <si>
    <t>Spatial</t>
  </si>
  <si>
    <t>x</t>
  </si>
  <si>
    <t>f(x, y)</t>
  </si>
  <si>
    <t>y</t>
  </si>
  <si>
    <t>2D Basic Function</t>
  </si>
  <si>
    <t>Scale  2/M*N</t>
  </si>
  <si>
    <t>F(u, v)</t>
  </si>
  <si>
    <t>f(x,y)</t>
  </si>
  <si>
    <t>Sequence to Sequence (Different Dimensions)</t>
  </si>
  <si>
    <t>ENCODER</t>
  </si>
  <si>
    <t>DECODER</t>
  </si>
  <si>
    <t>X1</t>
  </si>
  <si>
    <t>X2</t>
  </si>
  <si>
    <t>X3</t>
  </si>
  <si>
    <t>X4</t>
  </si>
  <si>
    <t>H0</t>
  </si>
  <si>
    <t>H1</t>
  </si>
  <si>
    <t>H2</t>
  </si>
  <si>
    <t>H3</t>
  </si>
  <si>
    <t>WX</t>
  </si>
  <si>
    <t>WH</t>
  </si>
  <si>
    <t>ReLU</t>
  </si>
  <si>
    <t>Y</t>
  </si>
  <si>
    <t>Y1</t>
  </si>
  <si>
    <t>Y2</t>
  </si>
  <si>
    <t>Y3</t>
  </si>
  <si>
    <t>Y4</t>
  </si>
  <si>
    <t>MLP vs RNN</t>
  </si>
  <si>
    <t>Xt'</t>
  </si>
  <si>
    <t>Linear</t>
  </si>
  <si>
    <t>W</t>
  </si>
  <si>
    <t>Ht'</t>
  </si>
  <si>
    <t>H4</t>
  </si>
  <si>
    <t>Yt'</t>
  </si>
  <si>
    <t>QKV Self-Attention</t>
  </si>
  <si>
    <t>Input</t>
  </si>
  <si>
    <t>X</t>
  </si>
  <si>
    <t>x4</t>
  </si>
  <si>
    <t>Q</t>
  </si>
  <si>
    <t>q1</t>
  </si>
  <si>
    <t>q2</t>
  </si>
  <si>
    <t>q3</t>
  </si>
  <si>
    <t>q4</t>
  </si>
  <si>
    <t>Wq</t>
  </si>
  <si>
    <t>K^T</t>
  </si>
  <si>
    <t>S = K^T • Q/sqrt(dk)</t>
  </si>
  <si>
    <t>A = Softmax(S)</t>
  </si>
  <si>
    <t>k1</t>
  </si>
  <si>
    <t>k2</t>
  </si>
  <si>
    <t>Wk</t>
  </si>
  <si>
    <t>K</t>
  </si>
  <si>
    <t>k3</t>
  </si>
  <si>
    <t>k4</t>
  </si>
  <si>
    <t>Wv</t>
  </si>
  <si>
    <t>V</t>
  </si>
  <si>
    <t>v1</t>
  </si>
  <si>
    <t>v2</t>
  </si>
  <si>
    <t>v3</t>
  </si>
  <si>
    <t>v4</t>
  </si>
  <si>
    <t>X' = V • A</t>
  </si>
  <si>
    <t>Feed Forward</t>
  </si>
  <si>
    <t>ViT Input Layer</t>
  </si>
  <si>
    <t>Flattened Patches</t>
  </si>
  <si>
    <t>IM2COL</t>
  </si>
  <si>
    <t>Learnable Weights</t>
  </si>
  <si>
    <t>Linear Projection of Flatten Patches</t>
  </si>
  <si>
    <t>*</t>
  </si>
  <si>
    <t>Extra Leanrable</t>
  </si>
  <si>
    <t>[class] Embedding</t>
  </si>
  <si>
    <t>Learnable</t>
  </si>
  <si>
    <t>1D Position</t>
  </si>
  <si>
    <t>Embeddings</t>
  </si>
  <si>
    <t>Embedded</t>
  </si>
  <si>
    <t>Patches</t>
  </si>
  <si>
    <t>ViT Output Layer</t>
  </si>
  <si>
    <t>W1</t>
  </si>
  <si>
    <t>b1</t>
  </si>
  <si>
    <t>Softmax</t>
  </si>
  <si>
    <t>Class</t>
  </si>
  <si>
    <t>Prediction</t>
  </si>
  <si>
    <t>Predicted</t>
  </si>
  <si>
    <t>Probability</t>
  </si>
  <si>
    <t>Distribution</t>
  </si>
  <si>
    <t>Cross Entropy</t>
  </si>
  <si>
    <t>Target</t>
  </si>
  <si>
    <t>Loss Gradient = Prediction - Target</t>
  </si>
  <si>
    <t>1: Dog</t>
  </si>
  <si>
    <t>2: Cow</t>
  </si>
  <si>
    <t>3: Pig</t>
  </si>
  <si>
    <t>4: Dinosaur</t>
  </si>
  <si>
    <t>5: Car</t>
  </si>
  <si>
    <t>6: Plane</t>
  </si>
  <si>
    <t>CLIP</t>
  </si>
  <si>
    <t>Image Embeddings</t>
  </si>
  <si>
    <t>Text Embeddings</t>
  </si>
  <si>
    <t>L2Norm</t>
  </si>
  <si>
    <t>I1</t>
  </si>
  <si>
    <t>I2</t>
  </si>
  <si>
    <t>I3</t>
  </si>
  <si>
    <t>I4</t>
  </si>
  <si>
    <t>T1</t>
  </si>
  <si>
    <t>T2</t>
  </si>
  <si>
    <t>T3</t>
  </si>
  <si>
    <t>T4</t>
  </si>
  <si>
    <t>Tj</t>
  </si>
  <si>
    <t>Image to Text</t>
  </si>
  <si>
    <t>Categorical Cross Entropy Loss (L)</t>
  </si>
  <si>
    <t>Symmetric Loss</t>
  </si>
  <si>
    <t>Loss Gradient (dL / dZ)</t>
  </si>
  <si>
    <t>i to j</t>
  </si>
  <si>
    <t>Prediction - Target = (Q - P) / temp</t>
  </si>
  <si>
    <t>Ii</t>
  </si>
  <si>
    <t xml:space="preserve"> </t>
  </si>
  <si>
    <t>Z = Ii • Tj / temp</t>
  </si>
  <si>
    <t>Q = Softmax(S) (byrow)</t>
  </si>
  <si>
    <t>P</t>
  </si>
  <si>
    <t>-P*LOG(Q+0.001)</t>
  </si>
  <si>
    <t>SUM/4</t>
  </si>
  <si>
    <t>MEAN</t>
  </si>
  <si>
    <t>Temperature</t>
  </si>
  <si>
    <t>Q = Softmax(S) (bycol)</t>
  </si>
  <si>
    <t>Text to Image</t>
  </si>
  <si>
    <t>j to i</t>
  </si>
  <si>
    <t>Diffusion</t>
  </si>
  <si>
    <t>TBD</t>
  </si>
  <si>
    <t>-P*LOG(Q)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</si>
</sst>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#\ ???/???"/>
  </numFmts>
  <fonts count="1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DE1E1"/>
        <bgColor indexed="64"/>
      </patternFill>
    </fill>
    <fill>
      <patternFill patternType="solid">
        <fgColor rgb="FFD1BDD3"/>
        <bgColor rgb="FF000000"/>
      </patternFill>
    </fill>
    <fill>
      <patternFill patternType="solid">
        <fgColor rgb="FFE2D5E8"/>
        <bgColor indexed="64"/>
      </patternFill>
    </fill>
    <fill>
      <patternFill patternType="solid">
        <fgColor rgb="FFE7E6E6"/>
        <bgColor rgb="FF00000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1"/>
    <xf numFmtId="0" fontId="1" fillId="8" borderId="2">
      <alignment horizontal="center"/>
    </xf>
  </cellStyleXfs>
  <cellXfs count="18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2" fillId="5" borderId="0" xfId="0" applyFont="1" applyFill="1"/>
    <xf numFmtId="0" fontId="0" fillId="6" borderId="0" xfId="0" applyFill="1"/>
    <xf numFmtId="0" fontId="1" fillId="0" borderId="0" xfId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0" xfId="0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6" fontId="0" fillId="0" borderId="0" xfId="0" applyNumberFormat="1" applyAlignment="1">
      <alignment horizontal="center"/>
    </xf>
    <xf numFmtId="6" fontId="3" fillId="0" borderId="0" xfId="0" applyNumberFormat="1" applyFont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9" borderId="0" xfId="0" applyFill="1"/>
    <xf numFmtId="0" fontId="0" fillId="2" borderId="0" xfId="0" applyFill="1"/>
    <xf numFmtId="0" fontId="0" fillId="0" borderId="14" xfId="0" applyBorder="1"/>
    <xf numFmtId="0" fontId="0" fillId="0" borderId="16" xfId="0" applyBorder="1"/>
    <xf numFmtId="0" fontId="0" fillId="0" borderId="3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1" fillId="3" borderId="14" xfId="1" applyFill="1" applyBorder="1" applyAlignment="1">
      <alignment horizontal="center" vertical="center"/>
    </xf>
    <xf numFmtId="0" fontId="1" fillId="3" borderId="15" xfId="1" applyFill="1" applyBorder="1" applyAlignment="1">
      <alignment horizontal="center" vertical="center"/>
    </xf>
    <xf numFmtId="0" fontId="1" fillId="3" borderId="16" xfId="1" applyFill="1" applyBorder="1" applyAlignment="1">
      <alignment horizontal="center" vertical="center"/>
    </xf>
    <xf numFmtId="0" fontId="1" fillId="7" borderId="14" xfId="1" applyFill="1" applyBorder="1" applyAlignment="1">
      <alignment horizontal="center" vertical="center"/>
    </xf>
    <xf numFmtId="0" fontId="1" fillId="7" borderId="15" xfId="1" applyFill="1" applyBorder="1" applyAlignment="1">
      <alignment horizontal="center" vertical="center"/>
    </xf>
    <xf numFmtId="0" fontId="1" fillId="7" borderId="16" xfId="1" applyFill="1" applyBorder="1" applyAlignment="1">
      <alignment horizontal="center" vertical="center"/>
    </xf>
    <xf numFmtId="0" fontId="1" fillId="4" borderId="14" xfId="1" applyFill="1" applyBorder="1" applyAlignment="1">
      <alignment horizontal="center" vertical="center"/>
    </xf>
    <xf numFmtId="0" fontId="1" fillId="4" borderId="16" xfId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0" fillId="12" borderId="0" xfId="0" applyFill="1"/>
    <xf numFmtId="0" fontId="0" fillId="0" borderId="0" xfId="0" applyAlignment="1">
      <alignment horizontal="center" vertical="center"/>
    </xf>
    <xf numFmtId="0" fontId="0" fillId="5" borderId="0" xfId="0" applyFill="1"/>
    <xf numFmtId="0" fontId="0" fillId="3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5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7" borderId="14" xfId="0" applyFill="1" applyBorder="1" applyAlignment="1">
      <alignment horizontal="right"/>
    </xf>
    <xf numFmtId="0" fontId="0" fillId="7" borderId="15" xfId="0" applyFill="1" applyBorder="1" applyAlignment="1">
      <alignment horizontal="right"/>
    </xf>
    <xf numFmtId="0" fontId="0" fillId="7" borderId="16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10" borderId="3" xfId="0" applyFill="1" applyBorder="1" applyAlignment="1">
      <alignment horizontal="right"/>
    </xf>
    <xf numFmtId="0" fontId="0" fillId="10" borderId="8" xfId="0" applyFill="1" applyBorder="1" applyAlignment="1">
      <alignment horizontal="right"/>
    </xf>
    <xf numFmtId="0" fontId="0" fillId="10" borderId="4" xfId="0" applyFill="1" applyBorder="1" applyAlignment="1">
      <alignment horizontal="right"/>
    </xf>
    <xf numFmtId="0" fontId="0" fillId="10" borderId="10" xfId="0" applyFill="1" applyBorder="1" applyAlignment="1">
      <alignment horizontal="right"/>
    </xf>
    <xf numFmtId="0" fontId="0" fillId="10" borderId="5" xfId="0" applyFill="1" applyBorder="1" applyAlignment="1">
      <alignment horizontal="right"/>
    </xf>
    <xf numFmtId="0" fontId="0" fillId="10" borderId="13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4" xfId="0" applyBorder="1"/>
    <xf numFmtId="0" fontId="0" fillId="0" borderId="15" xfId="0" applyBorder="1"/>
    <xf numFmtId="0" fontId="5" fillId="5" borderId="0" xfId="0" applyFont="1" applyFill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4" borderId="3" xfId="0" applyFill="1" applyBorder="1"/>
    <xf numFmtId="0" fontId="0" fillId="14" borderId="5" xfId="0" applyFill="1" applyBorder="1"/>
    <xf numFmtId="164" fontId="0" fillId="0" borderId="6" xfId="0" applyNumberFormat="1" applyBorder="1" applyAlignment="1">
      <alignment shrinkToFi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4" fontId="0" fillId="0" borderId="0" xfId="0" applyNumberFormat="1" applyAlignment="1">
      <alignment shrinkToFit="1"/>
    </xf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0" fillId="15" borderId="14" xfId="0" applyFill="1" applyBorder="1"/>
    <xf numFmtId="0" fontId="0" fillId="15" borderId="16" xfId="0" applyFill="1" applyBorder="1"/>
    <xf numFmtId="0" fontId="0" fillId="10" borderId="1" xfId="0" applyFill="1" applyBorder="1"/>
    <xf numFmtId="0" fontId="6" fillId="0" borderId="0" xfId="0" applyFont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6" borderId="0" xfId="0" applyFill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3" fillId="17" borderId="26" xfId="0" applyFont="1" applyFill="1" applyBorder="1" applyAlignment="1">
      <alignment horizontal="center"/>
    </xf>
    <xf numFmtId="0" fontId="3" fillId="17" borderId="27" xfId="0" applyFont="1" applyFill="1" applyBorder="1" applyAlignment="1">
      <alignment horizontal="center"/>
    </xf>
    <xf numFmtId="0" fontId="3" fillId="17" borderId="28" xfId="0" applyFont="1" applyFill="1" applyBorder="1" applyAlignment="1">
      <alignment horizontal="center"/>
    </xf>
    <xf numFmtId="0" fontId="3" fillId="17" borderId="29" xfId="0" applyFont="1" applyFill="1" applyBorder="1" applyAlignment="1">
      <alignment horizontal="center"/>
    </xf>
    <xf numFmtId="0" fontId="3" fillId="17" borderId="0" xfId="0" applyFont="1" applyFill="1" applyAlignment="1">
      <alignment horizontal="center"/>
    </xf>
    <xf numFmtId="0" fontId="3" fillId="17" borderId="30" xfId="0" applyFont="1" applyFill="1" applyBorder="1" applyAlignment="1">
      <alignment horizontal="center"/>
    </xf>
    <xf numFmtId="0" fontId="3" fillId="17" borderId="31" xfId="0" applyFont="1" applyFill="1" applyBorder="1" applyAlignment="1">
      <alignment horizontal="center"/>
    </xf>
    <xf numFmtId="0" fontId="3" fillId="17" borderId="32" xfId="0" applyFont="1" applyFill="1" applyBorder="1" applyAlignment="1">
      <alignment horizontal="center"/>
    </xf>
    <xf numFmtId="0" fontId="3" fillId="17" borderId="33" xfId="0" applyFont="1" applyFill="1" applyBorder="1" applyAlignment="1">
      <alignment horizontal="center"/>
    </xf>
    <xf numFmtId="0" fontId="0" fillId="11" borderId="3" xfId="0" applyFill="1" applyBorder="1"/>
    <xf numFmtId="0" fontId="0" fillId="11" borderId="4" xfId="0" applyFill="1" applyBorder="1"/>
    <xf numFmtId="0" fontId="0" fillId="11" borderId="5" xfId="0" applyFill="1" applyBorder="1"/>
    <xf numFmtId="0" fontId="3" fillId="2" borderId="0" xfId="0" applyFont="1" applyFill="1"/>
    <xf numFmtId="0" fontId="0" fillId="0" borderId="37" xfId="0" applyBorder="1"/>
    <xf numFmtId="0" fontId="0" fillId="0" borderId="38" xfId="0" applyBorder="1"/>
    <xf numFmtId="0" fontId="0" fillId="0" borderId="39" xfId="0" applyBorder="1"/>
    <xf numFmtId="20" fontId="0" fillId="0" borderId="0" xfId="0" applyNumberFormat="1"/>
    <xf numFmtId="0" fontId="7" fillId="5" borderId="0" xfId="0" applyFont="1" applyFill="1"/>
    <xf numFmtId="0" fontId="0" fillId="2" borderId="1" xfId="0" applyFill="1" applyBorder="1"/>
    <xf numFmtId="0" fontId="0" fillId="3" borderId="1" xfId="0" applyFill="1" applyBorder="1"/>
    <xf numFmtId="0" fontId="0" fillId="18" borderId="3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8" fillId="0" borderId="0" xfId="0" applyFont="1"/>
    <xf numFmtId="0" fontId="0" fillId="7" borderId="37" xfId="0" applyFill="1" applyBorder="1"/>
    <xf numFmtId="0" fontId="0" fillId="7" borderId="38" xfId="0" applyFill="1" applyBorder="1"/>
    <xf numFmtId="0" fontId="0" fillId="7" borderId="39" xfId="0" applyFill="1" applyBorder="1"/>
    <xf numFmtId="0" fontId="0" fillId="18" borderId="37" xfId="0" applyFill="1" applyBorder="1"/>
    <xf numFmtId="0" fontId="0" fillId="18" borderId="38" xfId="0" applyFill="1" applyBorder="1"/>
    <xf numFmtId="0" fontId="0" fillId="18" borderId="39" xfId="0" applyFill="1" applyBorder="1"/>
    <xf numFmtId="0" fontId="9" fillId="0" borderId="0" xfId="0" quotePrefix="1" applyFont="1" applyAlignment="1">
      <alignment horizontal="center"/>
    </xf>
    <xf numFmtId="0" fontId="0" fillId="7" borderId="40" xfId="0" applyFill="1" applyBorder="1"/>
    <xf numFmtId="0" fontId="0" fillId="7" borderId="41" xfId="0" applyFill="1" applyBorder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1" xfId="0" applyBorder="1"/>
  </cellXfs>
  <cellStyles count="3">
    <cellStyle name="Hyper" xfId="2" xr:uid="{C83B9446-5EAC-6047-AEC1-B94AC8DCE5B5}"/>
    <cellStyle name="Node" xfId="1" xr:uid="{3AC8DD0F-7DBA-AE46-941B-508B5BB24C8F}"/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63062</xdr:colOff>
      <xdr:row>270</xdr:row>
      <xdr:rowOff>19772</xdr:rowOff>
    </xdr:from>
    <xdr:to>
      <xdr:col>2</xdr:col>
      <xdr:colOff>304795</xdr:colOff>
      <xdr:row>270</xdr:row>
      <xdr:rowOff>291591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FF4DA730-50B7-0B4B-A859-7053F2A9E197}"/>
            </a:ext>
          </a:extLst>
        </xdr:cNvPr>
        <xdr:cNvSpPr/>
      </xdr:nvSpPr>
      <xdr:spPr>
        <a:xfrm>
          <a:off x="799662" y="82925372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63062</xdr:colOff>
      <xdr:row>270</xdr:row>
      <xdr:rowOff>19772</xdr:rowOff>
    </xdr:from>
    <xdr:to>
      <xdr:col>3</xdr:col>
      <xdr:colOff>304795</xdr:colOff>
      <xdr:row>270</xdr:row>
      <xdr:rowOff>291591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DBC44D9-6F15-924E-B38C-5AF75C0E6564}"/>
            </a:ext>
          </a:extLst>
        </xdr:cNvPr>
        <xdr:cNvSpPr/>
      </xdr:nvSpPr>
      <xdr:spPr>
        <a:xfrm>
          <a:off x="1180662" y="82925372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63062</xdr:colOff>
      <xdr:row>270</xdr:row>
      <xdr:rowOff>19772</xdr:rowOff>
    </xdr:from>
    <xdr:to>
      <xdr:col>4</xdr:col>
      <xdr:colOff>304795</xdr:colOff>
      <xdr:row>270</xdr:row>
      <xdr:rowOff>291591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BE3D27E-99FE-8B48-AF47-DEFDC1D5DF89}"/>
            </a:ext>
          </a:extLst>
        </xdr:cNvPr>
        <xdr:cNvSpPr/>
      </xdr:nvSpPr>
      <xdr:spPr>
        <a:xfrm>
          <a:off x="1561662" y="82925372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78004</xdr:colOff>
      <xdr:row>282</xdr:row>
      <xdr:rowOff>19317</xdr:rowOff>
    </xdr:from>
    <xdr:to>
      <xdr:col>2</xdr:col>
      <xdr:colOff>319737</xdr:colOff>
      <xdr:row>282</xdr:row>
      <xdr:rowOff>291136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516CAAB-A137-2246-B48E-EFD1F702C809}"/>
            </a:ext>
          </a:extLst>
        </xdr:cNvPr>
        <xdr:cNvSpPr/>
      </xdr:nvSpPr>
      <xdr:spPr>
        <a:xfrm>
          <a:off x="814604" y="865825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282</xdr:row>
      <xdr:rowOff>19317</xdr:rowOff>
    </xdr:from>
    <xdr:to>
      <xdr:col>3</xdr:col>
      <xdr:colOff>319737</xdr:colOff>
      <xdr:row>282</xdr:row>
      <xdr:rowOff>291136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46F6244-DB3A-A240-88FD-AF82D73C76B0}"/>
            </a:ext>
          </a:extLst>
        </xdr:cNvPr>
        <xdr:cNvSpPr/>
      </xdr:nvSpPr>
      <xdr:spPr>
        <a:xfrm>
          <a:off x="1195604" y="865825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78004</xdr:colOff>
      <xdr:row>282</xdr:row>
      <xdr:rowOff>19317</xdr:rowOff>
    </xdr:from>
    <xdr:to>
      <xdr:col>4</xdr:col>
      <xdr:colOff>319737</xdr:colOff>
      <xdr:row>282</xdr:row>
      <xdr:rowOff>291136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A2175E2-9D86-9F46-8A4E-D40E03EEBC27}"/>
            </a:ext>
          </a:extLst>
        </xdr:cNvPr>
        <xdr:cNvSpPr/>
      </xdr:nvSpPr>
      <xdr:spPr>
        <a:xfrm>
          <a:off x="1576604" y="865825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78004</xdr:colOff>
      <xdr:row>282</xdr:row>
      <xdr:rowOff>19317</xdr:rowOff>
    </xdr:from>
    <xdr:to>
      <xdr:col>5</xdr:col>
      <xdr:colOff>319737</xdr:colOff>
      <xdr:row>282</xdr:row>
      <xdr:rowOff>291136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D547B58-FCE8-D044-A263-A0ECA2817F36}"/>
            </a:ext>
          </a:extLst>
        </xdr:cNvPr>
        <xdr:cNvSpPr/>
      </xdr:nvSpPr>
      <xdr:spPr>
        <a:xfrm>
          <a:off x="1957604" y="86582517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183929</xdr:colOff>
      <xdr:row>270</xdr:row>
      <xdr:rowOff>291591</xdr:rowOff>
    </xdr:from>
    <xdr:to>
      <xdr:col>2</xdr:col>
      <xdr:colOff>198871</xdr:colOff>
      <xdr:row>282</xdr:row>
      <xdr:rowOff>19317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C054E6F-61D9-BA4A-A779-DD092D2E6EDB}"/>
            </a:ext>
          </a:extLst>
        </xdr:cNvPr>
        <xdr:cNvCxnSpPr>
          <a:stCxn id="2" idx="4"/>
          <a:endCxn id="5" idx="0"/>
        </xdr:cNvCxnSpPr>
      </xdr:nvCxnSpPr>
      <xdr:spPr>
        <a:xfrm>
          <a:off x="920529" y="83197191"/>
          <a:ext cx="14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3</xdr:col>
      <xdr:colOff>198871</xdr:colOff>
      <xdr:row>282</xdr:row>
      <xdr:rowOff>19317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7B39B15-E3DA-E849-8B60-D98495F9C820}"/>
            </a:ext>
          </a:extLst>
        </xdr:cNvPr>
        <xdr:cNvCxnSpPr>
          <a:stCxn id="3" idx="4"/>
          <a:endCxn id="6" idx="0"/>
        </xdr:cNvCxnSpPr>
      </xdr:nvCxnSpPr>
      <xdr:spPr>
        <a:xfrm>
          <a:off x="1301529" y="83197191"/>
          <a:ext cx="14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CCB425FF-C119-8D42-871D-EC2035EB7F64}"/>
            </a:ext>
          </a:extLst>
        </xdr:cNvPr>
        <xdr:cNvCxnSpPr>
          <a:stCxn id="4" idx="4"/>
          <a:endCxn id="7" idx="0"/>
        </xdr:cNvCxnSpPr>
      </xdr:nvCxnSpPr>
      <xdr:spPr>
        <a:xfrm>
          <a:off x="1682529" y="83197191"/>
          <a:ext cx="14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703F79B-A3C4-BE4B-8915-0F21B5D030BA}"/>
            </a:ext>
          </a:extLst>
        </xdr:cNvPr>
        <xdr:cNvCxnSpPr>
          <a:stCxn id="4" idx="4"/>
          <a:endCxn id="8" idx="0"/>
        </xdr:cNvCxnSpPr>
      </xdr:nvCxnSpPr>
      <xdr:spPr>
        <a:xfrm>
          <a:off x="1682529" y="83197191"/>
          <a:ext cx="395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270</xdr:row>
      <xdr:rowOff>291591</xdr:rowOff>
    </xdr:from>
    <xdr:to>
      <xdr:col>4</xdr:col>
      <xdr:colOff>183929</xdr:colOff>
      <xdr:row>282</xdr:row>
      <xdr:rowOff>19317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933CFC3-DED4-8041-BD88-14E5CB87260A}"/>
            </a:ext>
          </a:extLst>
        </xdr:cNvPr>
        <xdr:cNvCxnSpPr>
          <a:stCxn id="4" idx="4"/>
          <a:endCxn id="6" idx="0"/>
        </xdr:cNvCxnSpPr>
      </xdr:nvCxnSpPr>
      <xdr:spPr>
        <a:xfrm flipH="1">
          <a:off x="1316471" y="83197191"/>
          <a:ext cx="366058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270</xdr:row>
      <xdr:rowOff>291591</xdr:rowOff>
    </xdr:from>
    <xdr:to>
      <xdr:col>4</xdr:col>
      <xdr:colOff>183929</xdr:colOff>
      <xdr:row>282</xdr:row>
      <xdr:rowOff>19317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2791FC84-57CA-7840-B6D4-7B26C89A8FBA}"/>
            </a:ext>
          </a:extLst>
        </xdr:cNvPr>
        <xdr:cNvCxnSpPr>
          <a:stCxn id="4" idx="4"/>
          <a:endCxn id="5" idx="0"/>
        </xdr:cNvCxnSpPr>
      </xdr:nvCxnSpPr>
      <xdr:spPr>
        <a:xfrm flipH="1">
          <a:off x="935471" y="83197191"/>
          <a:ext cx="747058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270</xdr:row>
      <xdr:rowOff>291591</xdr:rowOff>
    </xdr:from>
    <xdr:to>
      <xdr:col>3</xdr:col>
      <xdr:colOff>183929</xdr:colOff>
      <xdr:row>282</xdr:row>
      <xdr:rowOff>19317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97D5674-591C-4249-B72D-701DB37244A6}"/>
            </a:ext>
          </a:extLst>
        </xdr:cNvPr>
        <xdr:cNvCxnSpPr>
          <a:stCxn id="3" idx="4"/>
          <a:endCxn id="5" idx="0"/>
        </xdr:cNvCxnSpPr>
      </xdr:nvCxnSpPr>
      <xdr:spPr>
        <a:xfrm flipH="1">
          <a:off x="935471" y="83197191"/>
          <a:ext cx="366058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3</xdr:col>
      <xdr:colOff>198871</xdr:colOff>
      <xdr:row>282</xdr:row>
      <xdr:rowOff>19317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E21BFE1-EBB1-F34B-9BCC-1E6989E0DEBB}"/>
            </a:ext>
          </a:extLst>
        </xdr:cNvPr>
        <xdr:cNvCxnSpPr>
          <a:stCxn id="2" idx="4"/>
          <a:endCxn id="6" idx="0"/>
        </xdr:cNvCxnSpPr>
      </xdr:nvCxnSpPr>
      <xdr:spPr>
        <a:xfrm>
          <a:off x="920529" y="83197191"/>
          <a:ext cx="395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EBCD0CE-F056-FC46-AE43-130A3C919DC9}"/>
            </a:ext>
          </a:extLst>
        </xdr:cNvPr>
        <xdr:cNvCxnSpPr>
          <a:stCxn id="2" idx="4"/>
          <a:endCxn id="7" idx="0"/>
        </xdr:cNvCxnSpPr>
      </xdr:nvCxnSpPr>
      <xdr:spPr>
        <a:xfrm>
          <a:off x="920529" y="83197191"/>
          <a:ext cx="776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2EB3C8A-9123-B34A-B6FB-02D3CFA5834F}"/>
            </a:ext>
          </a:extLst>
        </xdr:cNvPr>
        <xdr:cNvCxnSpPr>
          <a:stCxn id="2" idx="4"/>
          <a:endCxn id="8" idx="0"/>
        </xdr:cNvCxnSpPr>
      </xdr:nvCxnSpPr>
      <xdr:spPr>
        <a:xfrm>
          <a:off x="920529" y="83197191"/>
          <a:ext cx="1157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5AC52F9-911F-D240-BEBD-C5D9E9202713}"/>
            </a:ext>
          </a:extLst>
        </xdr:cNvPr>
        <xdr:cNvCxnSpPr>
          <a:stCxn id="3" idx="4"/>
          <a:endCxn id="8" idx="0"/>
        </xdr:cNvCxnSpPr>
      </xdr:nvCxnSpPr>
      <xdr:spPr>
        <a:xfrm>
          <a:off x="1301529" y="83197191"/>
          <a:ext cx="776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DA23B9-BE5B-F34A-A7E4-7BE96E66CB0B}"/>
            </a:ext>
          </a:extLst>
        </xdr:cNvPr>
        <xdr:cNvCxnSpPr>
          <a:stCxn id="3" idx="4"/>
          <a:endCxn id="7" idx="0"/>
        </xdr:cNvCxnSpPr>
      </xdr:nvCxnSpPr>
      <xdr:spPr>
        <a:xfrm>
          <a:off x="1301529" y="83197191"/>
          <a:ext cx="395942" cy="338532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78004</xdr:colOff>
      <xdr:row>291</xdr:row>
      <xdr:rowOff>19336</xdr:rowOff>
    </xdr:from>
    <xdr:to>
      <xdr:col>2</xdr:col>
      <xdr:colOff>319737</xdr:colOff>
      <xdr:row>291</xdr:row>
      <xdr:rowOff>291155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5EABEEB-D58D-714E-8020-CC8BF6AF6DC7}"/>
            </a:ext>
          </a:extLst>
        </xdr:cNvPr>
        <xdr:cNvSpPr/>
      </xdr:nvSpPr>
      <xdr:spPr>
        <a:xfrm>
          <a:off x="814604" y="893257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291</xdr:row>
      <xdr:rowOff>19336</xdr:rowOff>
    </xdr:from>
    <xdr:to>
      <xdr:col>3</xdr:col>
      <xdr:colOff>319737</xdr:colOff>
      <xdr:row>291</xdr:row>
      <xdr:rowOff>291155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7731461-76AC-9342-B264-55A27599D434}"/>
            </a:ext>
          </a:extLst>
        </xdr:cNvPr>
        <xdr:cNvSpPr/>
      </xdr:nvSpPr>
      <xdr:spPr>
        <a:xfrm>
          <a:off x="1195604" y="89325736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198871</xdr:colOff>
      <xdr:row>282</xdr:row>
      <xdr:rowOff>291136</xdr:rowOff>
    </xdr:from>
    <xdr:to>
      <xdr:col>2</xdr:col>
      <xdr:colOff>198871</xdr:colOff>
      <xdr:row>291</xdr:row>
      <xdr:rowOff>19336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8BEFC24-5B0B-C744-B549-764BBD23001F}"/>
            </a:ext>
          </a:extLst>
        </xdr:cNvPr>
        <xdr:cNvCxnSpPr>
          <a:stCxn id="5" idx="4"/>
          <a:endCxn id="21" idx="0"/>
        </xdr:cNvCxnSpPr>
      </xdr:nvCxnSpPr>
      <xdr:spPr>
        <a:xfrm>
          <a:off x="935471" y="86854336"/>
          <a:ext cx="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11FD2BF5-8669-B044-A1BF-0A934EDA6FF9}"/>
            </a:ext>
          </a:extLst>
        </xdr:cNvPr>
        <xdr:cNvCxnSpPr>
          <a:stCxn id="6" idx="4"/>
          <a:endCxn id="21" idx="0"/>
        </xdr:cNvCxnSpPr>
      </xdr:nvCxnSpPr>
      <xdr:spPr>
        <a:xfrm flipH="1">
          <a:off x="935471" y="86854336"/>
          <a:ext cx="381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4</xdr:col>
      <xdr:colOff>198871</xdr:colOff>
      <xdr:row>291</xdr:row>
      <xdr:rowOff>19336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6AD6D47-F254-B740-81A6-45E3624624FC}"/>
            </a:ext>
          </a:extLst>
        </xdr:cNvPr>
        <xdr:cNvCxnSpPr>
          <a:stCxn id="7" idx="4"/>
          <a:endCxn id="21" idx="0"/>
        </xdr:cNvCxnSpPr>
      </xdr:nvCxnSpPr>
      <xdr:spPr>
        <a:xfrm flipH="1">
          <a:off x="935471" y="86854336"/>
          <a:ext cx="762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5</xdr:col>
      <xdr:colOff>198871</xdr:colOff>
      <xdr:row>291</xdr:row>
      <xdr:rowOff>19336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6326172-423C-6342-AC5C-23C242FD1678}"/>
            </a:ext>
          </a:extLst>
        </xdr:cNvPr>
        <xdr:cNvCxnSpPr>
          <a:stCxn id="8" idx="4"/>
          <a:endCxn id="21" idx="0"/>
        </xdr:cNvCxnSpPr>
      </xdr:nvCxnSpPr>
      <xdr:spPr>
        <a:xfrm flipH="1">
          <a:off x="935471" y="86854336"/>
          <a:ext cx="1143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4</xdr:col>
      <xdr:colOff>198871</xdr:colOff>
      <xdr:row>291</xdr:row>
      <xdr:rowOff>19336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90962A1-9127-4149-B234-768BD4F1629E}"/>
            </a:ext>
          </a:extLst>
        </xdr:cNvPr>
        <xdr:cNvCxnSpPr>
          <a:stCxn id="7" idx="4"/>
          <a:endCxn id="22" idx="0"/>
        </xdr:cNvCxnSpPr>
      </xdr:nvCxnSpPr>
      <xdr:spPr>
        <a:xfrm flipH="1">
          <a:off x="1316471" y="86854336"/>
          <a:ext cx="381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8C7592F-315F-0D41-A6AE-5519B2DEA3DE}"/>
            </a:ext>
          </a:extLst>
        </xdr:cNvPr>
        <xdr:cNvCxnSpPr>
          <a:stCxn id="6" idx="4"/>
          <a:endCxn id="22" idx="0"/>
        </xdr:cNvCxnSpPr>
      </xdr:nvCxnSpPr>
      <xdr:spPr>
        <a:xfrm>
          <a:off x="1316471" y="86854336"/>
          <a:ext cx="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5916CF62-7AC9-0944-A366-172C535E9EAD}"/>
            </a:ext>
          </a:extLst>
        </xdr:cNvPr>
        <xdr:cNvCxnSpPr>
          <a:stCxn id="5" idx="4"/>
          <a:endCxn id="22" idx="0"/>
        </xdr:cNvCxnSpPr>
      </xdr:nvCxnSpPr>
      <xdr:spPr>
        <a:xfrm>
          <a:off x="935471" y="86854336"/>
          <a:ext cx="381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5</xdr:col>
      <xdr:colOff>198871</xdr:colOff>
      <xdr:row>291</xdr:row>
      <xdr:rowOff>19336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C3ACAAD0-4315-8B4D-B057-D5E6EFDE733A}"/>
            </a:ext>
          </a:extLst>
        </xdr:cNvPr>
        <xdr:cNvCxnSpPr>
          <a:stCxn id="8" idx="4"/>
          <a:endCxn id="22" idx="0"/>
        </xdr:cNvCxnSpPr>
      </xdr:nvCxnSpPr>
      <xdr:spPr>
        <a:xfrm flipH="1">
          <a:off x="1316471" y="86854336"/>
          <a:ext cx="762000" cy="24714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227107</xdr:colOff>
      <xdr:row>268</xdr:row>
      <xdr:rowOff>242793</xdr:rowOff>
    </xdr:from>
    <xdr:to>
      <xdr:col>25</xdr:col>
      <xdr:colOff>261472</xdr:colOff>
      <xdr:row>295</xdr:row>
      <xdr:rowOff>245088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DF729E42-897A-1D48-9706-3FD2C3169C99}"/>
            </a:ext>
          </a:extLst>
        </xdr:cNvPr>
        <xdr:cNvSpPr/>
      </xdr:nvSpPr>
      <xdr:spPr>
        <a:xfrm>
          <a:off x="2868707" y="82538793"/>
          <a:ext cx="6841565" cy="82318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MLP</a:t>
          </a:r>
        </a:p>
      </xdr:txBody>
    </xdr:sp>
    <xdr:clientData/>
  </xdr:twoCellAnchor>
  <xdr:twoCellAnchor>
    <xdr:from>
      <xdr:col>15</xdr:col>
      <xdr:colOff>198871</xdr:colOff>
      <xdr:row>270</xdr:row>
      <xdr:rowOff>291136</xdr:rowOff>
    </xdr:from>
    <xdr:to>
      <xdr:col>15</xdr:col>
      <xdr:colOff>198871</xdr:colOff>
      <xdr:row>283</xdr:row>
      <xdr:rowOff>19317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9CF15A4-C365-0148-AAFF-ADEEF637A5BC}"/>
            </a:ext>
          </a:extLst>
        </xdr:cNvPr>
        <xdr:cNvCxnSpPr>
          <a:cxnSpLocks/>
        </xdr:cNvCxnSpPr>
      </xdr:nvCxnSpPr>
      <xdr:spPr>
        <a:xfrm>
          <a:off x="5863071" y="83196736"/>
          <a:ext cx="0" cy="36905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198871</xdr:colOff>
      <xdr:row>283</xdr:row>
      <xdr:rowOff>291136</xdr:rowOff>
    </xdr:from>
    <xdr:to>
      <xdr:col>15</xdr:col>
      <xdr:colOff>198871</xdr:colOff>
      <xdr:row>292</xdr:row>
      <xdr:rowOff>19317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C50D55E-4102-9E4E-A146-762D3EA82A74}"/>
            </a:ext>
          </a:extLst>
        </xdr:cNvPr>
        <xdr:cNvCxnSpPr>
          <a:cxnSpLocks/>
        </xdr:cNvCxnSpPr>
      </xdr:nvCxnSpPr>
      <xdr:spPr>
        <a:xfrm>
          <a:off x="5863071" y="871591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112891</xdr:colOff>
      <xdr:row>283</xdr:row>
      <xdr:rowOff>42333</xdr:rowOff>
    </xdr:from>
    <xdr:to>
      <xdr:col>15</xdr:col>
      <xdr:colOff>239891</xdr:colOff>
      <xdr:row>283</xdr:row>
      <xdr:rowOff>282222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8153B86-62CD-F744-B9B4-38A29BE4DF95}"/>
            </a:ext>
          </a:extLst>
        </xdr:cNvPr>
        <xdr:cNvSpPr/>
      </xdr:nvSpPr>
      <xdr:spPr>
        <a:xfrm>
          <a:off x="5777091" y="869103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112891</xdr:colOff>
      <xdr:row>270</xdr:row>
      <xdr:rowOff>42333</xdr:rowOff>
    </xdr:from>
    <xdr:to>
      <xdr:col>15</xdr:col>
      <xdr:colOff>239891</xdr:colOff>
      <xdr:row>270</xdr:row>
      <xdr:rowOff>282222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EC1AF69-3AA2-E94F-BDA0-2F54F586E479}"/>
            </a:ext>
          </a:extLst>
        </xdr:cNvPr>
        <xdr:cNvSpPr/>
      </xdr:nvSpPr>
      <xdr:spPr>
        <a:xfrm>
          <a:off x="57770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15</xdr:col>
      <xdr:colOff>112891</xdr:colOff>
      <xdr:row>292</xdr:row>
      <xdr:rowOff>42333</xdr:rowOff>
    </xdr:from>
    <xdr:to>
      <xdr:col>15</xdr:col>
      <xdr:colOff>239891</xdr:colOff>
      <xdr:row>292</xdr:row>
      <xdr:rowOff>282222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AF17CCE-41DD-4F48-BF1E-63FC3E59CC71}"/>
            </a:ext>
          </a:extLst>
        </xdr:cNvPr>
        <xdr:cNvSpPr/>
      </xdr:nvSpPr>
      <xdr:spPr>
        <a:xfrm>
          <a:off x="5777091" y="896535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198871</xdr:colOff>
      <xdr:row>270</xdr:row>
      <xdr:rowOff>291136</xdr:rowOff>
    </xdr:from>
    <xdr:to>
      <xdr:col>18</xdr:col>
      <xdr:colOff>198871</xdr:colOff>
      <xdr:row>283</xdr:row>
      <xdr:rowOff>19317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22C82A8-D0B5-014A-8B5C-90696407543B}"/>
            </a:ext>
          </a:extLst>
        </xdr:cNvPr>
        <xdr:cNvCxnSpPr>
          <a:cxnSpLocks/>
        </xdr:cNvCxnSpPr>
      </xdr:nvCxnSpPr>
      <xdr:spPr>
        <a:xfrm>
          <a:off x="7006071" y="83196736"/>
          <a:ext cx="0" cy="36905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198871</xdr:colOff>
      <xdr:row>283</xdr:row>
      <xdr:rowOff>291136</xdr:rowOff>
    </xdr:from>
    <xdr:to>
      <xdr:col>18</xdr:col>
      <xdr:colOff>198871</xdr:colOff>
      <xdr:row>292</xdr:row>
      <xdr:rowOff>19317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61D1CC4E-2B7C-4A49-B71E-1FB6A867D594}"/>
            </a:ext>
          </a:extLst>
        </xdr:cNvPr>
        <xdr:cNvCxnSpPr>
          <a:cxnSpLocks/>
        </xdr:cNvCxnSpPr>
      </xdr:nvCxnSpPr>
      <xdr:spPr>
        <a:xfrm>
          <a:off x="7006071" y="871591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112891</xdr:colOff>
      <xdr:row>283</xdr:row>
      <xdr:rowOff>42333</xdr:rowOff>
    </xdr:from>
    <xdr:to>
      <xdr:col>18</xdr:col>
      <xdr:colOff>239891</xdr:colOff>
      <xdr:row>283</xdr:row>
      <xdr:rowOff>282222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0D3532F-41F5-D041-B485-C994E64443A8}"/>
            </a:ext>
          </a:extLst>
        </xdr:cNvPr>
        <xdr:cNvSpPr/>
      </xdr:nvSpPr>
      <xdr:spPr>
        <a:xfrm>
          <a:off x="6920091" y="869103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112891</xdr:colOff>
      <xdr:row>270</xdr:row>
      <xdr:rowOff>42333</xdr:rowOff>
    </xdr:from>
    <xdr:to>
      <xdr:col>18</xdr:col>
      <xdr:colOff>239891</xdr:colOff>
      <xdr:row>270</xdr:row>
      <xdr:rowOff>282222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8147F0A-2A61-A941-97D4-425C302E1010}"/>
            </a:ext>
          </a:extLst>
        </xdr:cNvPr>
        <xdr:cNvSpPr/>
      </xdr:nvSpPr>
      <xdr:spPr>
        <a:xfrm>
          <a:off x="69200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18</xdr:col>
      <xdr:colOff>112891</xdr:colOff>
      <xdr:row>292</xdr:row>
      <xdr:rowOff>42333</xdr:rowOff>
    </xdr:from>
    <xdr:to>
      <xdr:col>18</xdr:col>
      <xdr:colOff>239891</xdr:colOff>
      <xdr:row>292</xdr:row>
      <xdr:rowOff>282222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FA568CE-5368-2644-8D89-9CE6BFF5E3A0}"/>
            </a:ext>
          </a:extLst>
        </xdr:cNvPr>
        <xdr:cNvSpPr/>
      </xdr:nvSpPr>
      <xdr:spPr>
        <a:xfrm>
          <a:off x="6920091" y="896535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198871</xdr:colOff>
      <xdr:row>270</xdr:row>
      <xdr:rowOff>291136</xdr:rowOff>
    </xdr:from>
    <xdr:to>
      <xdr:col>21</xdr:col>
      <xdr:colOff>198871</xdr:colOff>
      <xdr:row>283</xdr:row>
      <xdr:rowOff>19317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DFE64EB-BD28-1746-8656-712BA1D063CA}"/>
            </a:ext>
          </a:extLst>
        </xdr:cNvPr>
        <xdr:cNvCxnSpPr>
          <a:cxnSpLocks/>
        </xdr:cNvCxnSpPr>
      </xdr:nvCxnSpPr>
      <xdr:spPr>
        <a:xfrm>
          <a:off x="8136371" y="83196736"/>
          <a:ext cx="0" cy="36905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198871</xdr:colOff>
      <xdr:row>283</xdr:row>
      <xdr:rowOff>291136</xdr:rowOff>
    </xdr:from>
    <xdr:to>
      <xdr:col>21</xdr:col>
      <xdr:colOff>198871</xdr:colOff>
      <xdr:row>292</xdr:row>
      <xdr:rowOff>19317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6A59B64-3676-B04E-BEDD-248D8B9DF32F}"/>
            </a:ext>
          </a:extLst>
        </xdr:cNvPr>
        <xdr:cNvCxnSpPr>
          <a:cxnSpLocks/>
        </xdr:cNvCxnSpPr>
      </xdr:nvCxnSpPr>
      <xdr:spPr>
        <a:xfrm>
          <a:off x="8136371" y="871591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112891</xdr:colOff>
      <xdr:row>283</xdr:row>
      <xdr:rowOff>42333</xdr:rowOff>
    </xdr:from>
    <xdr:to>
      <xdr:col>21</xdr:col>
      <xdr:colOff>239891</xdr:colOff>
      <xdr:row>283</xdr:row>
      <xdr:rowOff>282222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5130D04A-60D9-B24F-AB3E-D9D31D88312C}"/>
            </a:ext>
          </a:extLst>
        </xdr:cNvPr>
        <xdr:cNvSpPr/>
      </xdr:nvSpPr>
      <xdr:spPr>
        <a:xfrm>
          <a:off x="8050391" y="869103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112891</xdr:colOff>
      <xdr:row>270</xdr:row>
      <xdr:rowOff>42333</xdr:rowOff>
    </xdr:from>
    <xdr:to>
      <xdr:col>21</xdr:col>
      <xdr:colOff>239891</xdr:colOff>
      <xdr:row>270</xdr:row>
      <xdr:rowOff>282222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78EE382-1C62-A94C-A34D-40D22BC9EE10}"/>
            </a:ext>
          </a:extLst>
        </xdr:cNvPr>
        <xdr:cNvSpPr/>
      </xdr:nvSpPr>
      <xdr:spPr>
        <a:xfrm>
          <a:off x="80503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21</xdr:col>
      <xdr:colOff>112891</xdr:colOff>
      <xdr:row>292</xdr:row>
      <xdr:rowOff>42333</xdr:rowOff>
    </xdr:from>
    <xdr:to>
      <xdr:col>21</xdr:col>
      <xdr:colOff>239891</xdr:colOff>
      <xdr:row>292</xdr:row>
      <xdr:rowOff>282222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F925DC1A-6E85-A44D-B45F-74768DA26D12}"/>
            </a:ext>
          </a:extLst>
        </xdr:cNvPr>
        <xdr:cNvSpPr/>
      </xdr:nvSpPr>
      <xdr:spPr>
        <a:xfrm>
          <a:off x="8050391" y="896535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270</xdr:row>
      <xdr:rowOff>291136</xdr:rowOff>
    </xdr:from>
    <xdr:to>
      <xdr:col>24</xdr:col>
      <xdr:colOff>198871</xdr:colOff>
      <xdr:row>283</xdr:row>
      <xdr:rowOff>19317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BD52C1B-1541-0D42-BB66-6994CEC3D4DB}"/>
            </a:ext>
          </a:extLst>
        </xdr:cNvPr>
        <xdr:cNvCxnSpPr>
          <a:cxnSpLocks/>
        </xdr:cNvCxnSpPr>
      </xdr:nvCxnSpPr>
      <xdr:spPr>
        <a:xfrm>
          <a:off x="9266671" y="83196736"/>
          <a:ext cx="0" cy="36905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198871</xdr:colOff>
      <xdr:row>283</xdr:row>
      <xdr:rowOff>291136</xdr:rowOff>
    </xdr:from>
    <xdr:to>
      <xdr:col>24</xdr:col>
      <xdr:colOff>198871</xdr:colOff>
      <xdr:row>292</xdr:row>
      <xdr:rowOff>19317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C1B685-6441-1846-AFD7-BDDA6FD98281}"/>
            </a:ext>
          </a:extLst>
        </xdr:cNvPr>
        <xdr:cNvCxnSpPr>
          <a:cxnSpLocks/>
        </xdr:cNvCxnSpPr>
      </xdr:nvCxnSpPr>
      <xdr:spPr>
        <a:xfrm>
          <a:off x="9266671" y="871591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112891</xdr:colOff>
      <xdr:row>283</xdr:row>
      <xdr:rowOff>42333</xdr:rowOff>
    </xdr:from>
    <xdr:to>
      <xdr:col>24</xdr:col>
      <xdr:colOff>239891</xdr:colOff>
      <xdr:row>283</xdr:row>
      <xdr:rowOff>282222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FFAD0A6-B03A-DA4C-B66C-5650A29C8A55}"/>
            </a:ext>
          </a:extLst>
        </xdr:cNvPr>
        <xdr:cNvSpPr/>
      </xdr:nvSpPr>
      <xdr:spPr>
        <a:xfrm>
          <a:off x="9180691" y="869103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112891</xdr:colOff>
      <xdr:row>270</xdr:row>
      <xdr:rowOff>42333</xdr:rowOff>
    </xdr:from>
    <xdr:to>
      <xdr:col>24</xdr:col>
      <xdr:colOff>239891</xdr:colOff>
      <xdr:row>270</xdr:row>
      <xdr:rowOff>282222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32030F4-2B20-184C-9627-17BEEB22E8AC}"/>
            </a:ext>
          </a:extLst>
        </xdr:cNvPr>
        <xdr:cNvSpPr/>
      </xdr:nvSpPr>
      <xdr:spPr>
        <a:xfrm>
          <a:off x="91806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24</xdr:col>
      <xdr:colOff>112891</xdr:colOff>
      <xdr:row>292</xdr:row>
      <xdr:rowOff>42333</xdr:rowOff>
    </xdr:from>
    <xdr:to>
      <xdr:col>24</xdr:col>
      <xdr:colOff>239891</xdr:colOff>
      <xdr:row>292</xdr:row>
      <xdr:rowOff>282222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D0E5D16-53EE-AA4D-8152-F8FAD2FBB630}"/>
            </a:ext>
          </a:extLst>
        </xdr:cNvPr>
        <xdr:cNvSpPr/>
      </xdr:nvSpPr>
      <xdr:spPr>
        <a:xfrm>
          <a:off x="9180691" y="896535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176391</xdr:colOff>
      <xdr:row>270</xdr:row>
      <xdr:rowOff>291136</xdr:rowOff>
    </xdr:from>
    <xdr:to>
      <xdr:col>37</xdr:col>
      <xdr:colOff>198871</xdr:colOff>
      <xdr:row>285</xdr:row>
      <xdr:rowOff>42333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D897F00-6A8F-5E44-ACFF-C872D144C3C6}"/>
            </a:ext>
          </a:extLst>
        </xdr:cNvPr>
        <xdr:cNvCxnSpPr>
          <a:cxnSpLocks/>
          <a:endCxn id="54" idx="0"/>
        </xdr:cNvCxnSpPr>
      </xdr:nvCxnSpPr>
      <xdr:spPr>
        <a:xfrm flipH="1">
          <a:off x="14146391" y="83196736"/>
          <a:ext cx="22480" cy="432319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198871</xdr:colOff>
      <xdr:row>285</xdr:row>
      <xdr:rowOff>291136</xdr:rowOff>
    </xdr:from>
    <xdr:to>
      <xdr:col>37</xdr:col>
      <xdr:colOff>198871</xdr:colOff>
      <xdr:row>294</xdr:row>
      <xdr:rowOff>19317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845FB64-7A07-454D-BA19-089CA6EB4654}"/>
            </a:ext>
          </a:extLst>
        </xdr:cNvPr>
        <xdr:cNvCxnSpPr>
          <a:cxnSpLocks/>
        </xdr:cNvCxnSpPr>
      </xdr:nvCxnSpPr>
      <xdr:spPr>
        <a:xfrm>
          <a:off x="14168871" y="877687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112891</xdr:colOff>
      <xdr:row>285</xdr:row>
      <xdr:rowOff>42333</xdr:rowOff>
    </xdr:from>
    <xdr:to>
      <xdr:col>37</xdr:col>
      <xdr:colOff>239891</xdr:colOff>
      <xdr:row>285</xdr:row>
      <xdr:rowOff>282222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68A6AED-A549-DA4D-AFD2-980E93C6CA55}"/>
            </a:ext>
          </a:extLst>
        </xdr:cNvPr>
        <xdr:cNvSpPr/>
      </xdr:nvSpPr>
      <xdr:spPr>
        <a:xfrm>
          <a:off x="14082891" y="875199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112891</xdr:colOff>
      <xdr:row>270</xdr:row>
      <xdr:rowOff>42333</xdr:rowOff>
    </xdr:from>
    <xdr:to>
      <xdr:col>37</xdr:col>
      <xdr:colOff>239891</xdr:colOff>
      <xdr:row>270</xdr:row>
      <xdr:rowOff>282222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ADD99578-3979-4C48-9138-DDEEEFDCC281}"/>
            </a:ext>
          </a:extLst>
        </xdr:cNvPr>
        <xdr:cNvSpPr/>
      </xdr:nvSpPr>
      <xdr:spPr>
        <a:xfrm>
          <a:off x="140828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37</xdr:col>
      <xdr:colOff>112891</xdr:colOff>
      <xdr:row>294</xdr:row>
      <xdr:rowOff>42333</xdr:rowOff>
    </xdr:from>
    <xdr:to>
      <xdr:col>37</xdr:col>
      <xdr:colOff>239891</xdr:colOff>
      <xdr:row>294</xdr:row>
      <xdr:rowOff>282222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1F3DC5D-514B-BA4A-B902-4DD082376E31}"/>
            </a:ext>
          </a:extLst>
        </xdr:cNvPr>
        <xdr:cNvSpPr/>
      </xdr:nvSpPr>
      <xdr:spPr>
        <a:xfrm>
          <a:off x="14082891" y="902631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176391</xdr:colOff>
      <xdr:row>270</xdr:row>
      <xdr:rowOff>291136</xdr:rowOff>
    </xdr:from>
    <xdr:to>
      <xdr:col>40</xdr:col>
      <xdr:colOff>198871</xdr:colOff>
      <xdr:row>285</xdr:row>
      <xdr:rowOff>42333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10C9019-5389-B54B-8452-0FEE3F9165E8}"/>
            </a:ext>
          </a:extLst>
        </xdr:cNvPr>
        <xdr:cNvCxnSpPr>
          <a:cxnSpLocks/>
          <a:endCxn id="59" idx="0"/>
        </xdr:cNvCxnSpPr>
      </xdr:nvCxnSpPr>
      <xdr:spPr>
        <a:xfrm flipH="1">
          <a:off x="15251291" y="83196736"/>
          <a:ext cx="22480" cy="432319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198871</xdr:colOff>
      <xdr:row>285</xdr:row>
      <xdr:rowOff>291136</xdr:rowOff>
    </xdr:from>
    <xdr:to>
      <xdr:col>40</xdr:col>
      <xdr:colOff>198871</xdr:colOff>
      <xdr:row>294</xdr:row>
      <xdr:rowOff>19317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A0A023A-9BBD-544F-8003-F5E5D1196FDC}"/>
            </a:ext>
          </a:extLst>
        </xdr:cNvPr>
        <xdr:cNvCxnSpPr>
          <a:cxnSpLocks/>
        </xdr:cNvCxnSpPr>
      </xdr:nvCxnSpPr>
      <xdr:spPr>
        <a:xfrm>
          <a:off x="15273771" y="877687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112891</xdr:colOff>
      <xdr:row>285</xdr:row>
      <xdr:rowOff>42333</xdr:rowOff>
    </xdr:from>
    <xdr:to>
      <xdr:col>40</xdr:col>
      <xdr:colOff>239891</xdr:colOff>
      <xdr:row>285</xdr:row>
      <xdr:rowOff>282222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11AB8D62-9F37-2F43-B0FD-E22E2FD070DD}"/>
            </a:ext>
          </a:extLst>
        </xdr:cNvPr>
        <xdr:cNvSpPr/>
      </xdr:nvSpPr>
      <xdr:spPr>
        <a:xfrm>
          <a:off x="15187791" y="875199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112891</xdr:colOff>
      <xdr:row>270</xdr:row>
      <xdr:rowOff>42333</xdr:rowOff>
    </xdr:from>
    <xdr:to>
      <xdr:col>40</xdr:col>
      <xdr:colOff>239891</xdr:colOff>
      <xdr:row>270</xdr:row>
      <xdr:rowOff>282222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7699C381-9914-3846-9C03-42BB040E2FD6}"/>
            </a:ext>
          </a:extLst>
        </xdr:cNvPr>
        <xdr:cNvSpPr/>
      </xdr:nvSpPr>
      <xdr:spPr>
        <a:xfrm>
          <a:off x="151877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40</xdr:col>
      <xdr:colOff>112891</xdr:colOff>
      <xdr:row>294</xdr:row>
      <xdr:rowOff>42333</xdr:rowOff>
    </xdr:from>
    <xdr:to>
      <xdr:col>40</xdr:col>
      <xdr:colOff>239891</xdr:colOff>
      <xdr:row>294</xdr:row>
      <xdr:rowOff>282222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C4A356C-5912-874F-B686-06F3626BA554}"/>
            </a:ext>
          </a:extLst>
        </xdr:cNvPr>
        <xdr:cNvSpPr/>
      </xdr:nvSpPr>
      <xdr:spPr>
        <a:xfrm>
          <a:off x="15187791" y="902631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176391</xdr:colOff>
      <xdr:row>270</xdr:row>
      <xdr:rowOff>291136</xdr:rowOff>
    </xdr:from>
    <xdr:to>
      <xdr:col>43</xdr:col>
      <xdr:colOff>198871</xdr:colOff>
      <xdr:row>285</xdr:row>
      <xdr:rowOff>42333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94590F04-7290-334F-8EFC-A85F76C742E6}"/>
            </a:ext>
          </a:extLst>
        </xdr:cNvPr>
        <xdr:cNvCxnSpPr>
          <a:cxnSpLocks/>
          <a:endCxn id="64" idx="0"/>
        </xdr:cNvCxnSpPr>
      </xdr:nvCxnSpPr>
      <xdr:spPr>
        <a:xfrm flipH="1">
          <a:off x="16356191" y="83196736"/>
          <a:ext cx="22480" cy="432319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198871</xdr:colOff>
      <xdr:row>285</xdr:row>
      <xdr:rowOff>291136</xdr:rowOff>
    </xdr:from>
    <xdr:to>
      <xdr:col>43</xdr:col>
      <xdr:colOff>198871</xdr:colOff>
      <xdr:row>294</xdr:row>
      <xdr:rowOff>19317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A700E94-8784-4A4E-9FFF-A04D796C2E77}"/>
            </a:ext>
          </a:extLst>
        </xdr:cNvPr>
        <xdr:cNvCxnSpPr>
          <a:cxnSpLocks/>
        </xdr:cNvCxnSpPr>
      </xdr:nvCxnSpPr>
      <xdr:spPr>
        <a:xfrm>
          <a:off x="16378671" y="877687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112891</xdr:colOff>
      <xdr:row>285</xdr:row>
      <xdr:rowOff>42333</xdr:rowOff>
    </xdr:from>
    <xdr:to>
      <xdr:col>43</xdr:col>
      <xdr:colOff>239891</xdr:colOff>
      <xdr:row>285</xdr:row>
      <xdr:rowOff>282222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BE4AEEB-1620-5445-875F-02B23194A174}"/>
            </a:ext>
          </a:extLst>
        </xdr:cNvPr>
        <xdr:cNvSpPr/>
      </xdr:nvSpPr>
      <xdr:spPr>
        <a:xfrm>
          <a:off x="16292691" y="875199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112891</xdr:colOff>
      <xdr:row>270</xdr:row>
      <xdr:rowOff>42333</xdr:rowOff>
    </xdr:from>
    <xdr:to>
      <xdr:col>43</xdr:col>
      <xdr:colOff>239891</xdr:colOff>
      <xdr:row>270</xdr:row>
      <xdr:rowOff>282222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D22B943-B034-B145-A8F0-79262C8C123D}"/>
            </a:ext>
          </a:extLst>
        </xdr:cNvPr>
        <xdr:cNvSpPr/>
      </xdr:nvSpPr>
      <xdr:spPr>
        <a:xfrm>
          <a:off x="162926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43</xdr:col>
      <xdr:colOff>112891</xdr:colOff>
      <xdr:row>294</xdr:row>
      <xdr:rowOff>42333</xdr:rowOff>
    </xdr:from>
    <xdr:to>
      <xdr:col>43</xdr:col>
      <xdr:colOff>239891</xdr:colOff>
      <xdr:row>294</xdr:row>
      <xdr:rowOff>282222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985468A4-F4E2-F741-91E2-7F36268B7C18}"/>
            </a:ext>
          </a:extLst>
        </xdr:cNvPr>
        <xdr:cNvSpPr/>
      </xdr:nvSpPr>
      <xdr:spPr>
        <a:xfrm>
          <a:off x="16292691" y="902631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176391</xdr:colOff>
      <xdr:row>270</xdr:row>
      <xdr:rowOff>291136</xdr:rowOff>
    </xdr:from>
    <xdr:to>
      <xdr:col>46</xdr:col>
      <xdr:colOff>198871</xdr:colOff>
      <xdr:row>285</xdr:row>
      <xdr:rowOff>42333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A2D2B217-270F-4E4F-949C-6EA4D67253A0}"/>
            </a:ext>
          </a:extLst>
        </xdr:cNvPr>
        <xdr:cNvCxnSpPr>
          <a:cxnSpLocks/>
          <a:endCxn id="69" idx="0"/>
        </xdr:cNvCxnSpPr>
      </xdr:nvCxnSpPr>
      <xdr:spPr>
        <a:xfrm flipH="1">
          <a:off x="17461091" y="83196736"/>
          <a:ext cx="22480" cy="432319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285</xdr:row>
      <xdr:rowOff>291136</xdr:rowOff>
    </xdr:from>
    <xdr:to>
      <xdr:col>46</xdr:col>
      <xdr:colOff>198871</xdr:colOff>
      <xdr:row>294</xdr:row>
      <xdr:rowOff>19317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AB1FB3B5-87D6-7D47-AE35-0DBE428CADFC}"/>
            </a:ext>
          </a:extLst>
        </xdr:cNvPr>
        <xdr:cNvCxnSpPr>
          <a:cxnSpLocks/>
        </xdr:cNvCxnSpPr>
      </xdr:nvCxnSpPr>
      <xdr:spPr>
        <a:xfrm>
          <a:off x="17483571" y="87768736"/>
          <a:ext cx="0" cy="2471381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112891</xdr:colOff>
      <xdr:row>285</xdr:row>
      <xdr:rowOff>42333</xdr:rowOff>
    </xdr:from>
    <xdr:to>
      <xdr:col>46</xdr:col>
      <xdr:colOff>239891</xdr:colOff>
      <xdr:row>285</xdr:row>
      <xdr:rowOff>282222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8C2F28F-B015-D045-AE9A-F3713349354B}"/>
            </a:ext>
          </a:extLst>
        </xdr:cNvPr>
        <xdr:cNvSpPr/>
      </xdr:nvSpPr>
      <xdr:spPr>
        <a:xfrm>
          <a:off x="17397591" y="875199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112891</xdr:colOff>
      <xdr:row>270</xdr:row>
      <xdr:rowOff>42333</xdr:rowOff>
    </xdr:from>
    <xdr:to>
      <xdr:col>46</xdr:col>
      <xdr:colOff>239891</xdr:colOff>
      <xdr:row>270</xdr:row>
      <xdr:rowOff>282222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278A0F6-695D-794C-A292-B1B4AC41F3FB}"/>
            </a:ext>
          </a:extLst>
        </xdr:cNvPr>
        <xdr:cNvSpPr/>
      </xdr:nvSpPr>
      <xdr:spPr>
        <a:xfrm>
          <a:off x="17397591" y="82947933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46</xdr:col>
      <xdr:colOff>112891</xdr:colOff>
      <xdr:row>294</xdr:row>
      <xdr:rowOff>42333</xdr:rowOff>
    </xdr:from>
    <xdr:to>
      <xdr:col>46</xdr:col>
      <xdr:colOff>239891</xdr:colOff>
      <xdr:row>294</xdr:row>
      <xdr:rowOff>282222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3833EA07-DD29-134B-A9A8-70514838ED91}"/>
            </a:ext>
          </a:extLst>
        </xdr:cNvPr>
        <xdr:cNvSpPr/>
      </xdr:nvSpPr>
      <xdr:spPr>
        <a:xfrm>
          <a:off x="17397591" y="90263133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112891</xdr:colOff>
      <xdr:row>285</xdr:row>
      <xdr:rowOff>42333</xdr:rowOff>
    </xdr:from>
    <xdr:to>
      <xdr:col>34</xdr:col>
      <xdr:colOff>239891</xdr:colOff>
      <xdr:row>285</xdr:row>
      <xdr:rowOff>282222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5CC63B0-855F-D142-878F-1451FE33FEFA}"/>
            </a:ext>
          </a:extLst>
        </xdr:cNvPr>
        <xdr:cNvSpPr/>
      </xdr:nvSpPr>
      <xdr:spPr>
        <a:xfrm>
          <a:off x="12977991" y="87519933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239891</xdr:colOff>
      <xdr:row>285</xdr:row>
      <xdr:rowOff>162278</xdr:rowOff>
    </xdr:from>
    <xdr:to>
      <xdr:col>37</xdr:col>
      <xdr:colOff>112891</xdr:colOff>
      <xdr:row>285</xdr:row>
      <xdr:rowOff>162278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32AC3A5-F8FA-8E47-A059-E642146931D9}"/>
            </a:ext>
          </a:extLst>
        </xdr:cNvPr>
        <xdr:cNvCxnSpPr>
          <a:stCxn id="72" idx="3"/>
          <a:endCxn id="54" idx="1"/>
        </xdr:cNvCxnSpPr>
      </xdr:nvCxnSpPr>
      <xdr:spPr>
        <a:xfrm>
          <a:off x="13104991" y="87639878"/>
          <a:ext cx="9779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239891</xdr:colOff>
      <xdr:row>285</xdr:row>
      <xdr:rowOff>162278</xdr:rowOff>
    </xdr:from>
    <xdr:to>
      <xdr:col>40</xdr:col>
      <xdr:colOff>112891</xdr:colOff>
      <xdr:row>285</xdr:row>
      <xdr:rowOff>162278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307D57C6-7A78-8747-8DD6-D591E44ADF7C}"/>
            </a:ext>
          </a:extLst>
        </xdr:cNvPr>
        <xdr:cNvCxnSpPr>
          <a:stCxn id="54" idx="3"/>
          <a:endCxn id="59" idx="1"/>
        </xdr:cNvCxnSpPr>
      </xdr:nvCxnSpPr>
      <xdr:spPr>
        <a:xfrm>
          <a:off x="14209891" y="87639878"/>
          <a:ext cx="9779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239891</xdr:colOff>
      <xdr:row>285</xdr:row>
      <xdr:rowOff>162278</xdr:rowOff>
    </xdr:from>
    <xdr:to>
      <xdr:col>43</xdr:col>
      <xdr:colOff>112891</xdr:colOff>
      <xdr:row>285</xdr:row>
      <xdr:rowOff>162278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11C64ED8-0F6C-C947-B329-398695387B39}"/>
            </a:ext>
          </a:extLst>
        </xdr:cNvPr>
        <xdr:cNvCxnSpPr>
          <a:stCxn id="59" idx="3"/>
          <a:endCxn id="64" idx="1"/>
        </xdr:cNvCxnSpPr>
      </xdr:nvCxnSpPr>
      <xdr:spPr>
        <a:xfrm>
          <a:off x="15314791" y="87639878"/>
          <a:ext cx="9779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239891</xdr:colOff>
      <xdr:row>285</xdr:row>
      <xdr:rowOff>162278</xdr:rowOff>
    </xdr:from>
    <xdr:to>
      <xdr:col>46</xdr:col>
      <xdr:colOff>112891</xdr:colOff>
      <xdr:row>285</xdr:row>
      <xdr:rowOff>162278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663549A6-6F72-7046-8511-682686D8C1FE}"/>
            </a:ext>
          </a:extLst>
        </xdr:cNvPr>
        <xdr:cNvCxnSpPr>
          <a:stCxn id="64" idx="3"/>
          <a:endCxn id="69" idx="1"/>
        </xdr:cNvCxnSpPr>
      </xdr:nvCxnSpPr>
      <xdr:spPr>
        <a:xfrm>
          <a:off x="16419691" y="87639878"/>
          <a:ext cx="9779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289650</xdr:colOff>
      <xdr:row>268</xdr:row>
      <xdr:rowOff>222807</xdr:rowOff>
    </xdr:from>
    <xdr:to>
      <xdr:col>48</xdr:col>
      <xdr:colOff>56645</xdr:colOff>
      <xdr:row>295</xdr:row>
      <xdr:rowOff>222807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DA08788-5846-5845-B2F8-3E3DB1A0FC9E}"/>
            </a:ext>
          </a:extLst>
        </xdr:cNvPr>
        <xdr:cNvSpPr/>
      </xdr:nvSpPr>
      <xdr:spPr>
        <a:xfrm>
          <a:off x="10119450" y="82518807"/>
          <a:ext cx="7958495" cy="82296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RNN</a:t>
          </a:r>
        </a:p>
      </xdr:txBody>
    </xdr:sp>
    <xdr:clientData/>
  </xdr:twoCellAnchor>
  <xdr:twoCellAnchor>
    <xdr:from>
      <xdr:col>16</xdr:col>
      <xdr:colOff>78004</xdr:colOff>
      <xdr:row>230</xdr:row>
      <xdr:rowOff>19317</xdr:rowOff>
    </xdr:from>
    <xdr:to>
      <xdr:col>16</xdr:col>
      <xdr:colOff>319737</xdr:colOff>
      <xdr:row>230</xdr:row>
      <xdr:rowOff>291136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CC9AF88A-CF96-E048-BD87-EA1B640F09F5}"/>
            </a:ext>
          </a:extLst>
        </xdr:cNvPr>
        <xdr:cNvSpPr/>
      </xdr:nvSpPr>
      <xdr:spPr>
        <a:xfrm>
          <a:off x="61232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78004</xdr:colOff>
      <xdr:row>242</xdr:row>
      <xdr:rowOff>19317</xdr:rowOff>
    </xdr:from>
    <xdr:to>
      <xdr:col>15</xdr:col>
      <xdr:colOff>319737</xdr:colOff>
      <xdr:row>242</xdr:row>
      <xdr:rowOff>291136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209AB41E-6ED8-1E4B-95D3-C89A28912FCC}"/>
            </a:ext>
          </a:extLst>
        </xdr:cNvPr>
        <xdr:cNvSpPr/>
      </xdr:nvSpPr>
      <xdr:spPr>
        <a:xfrm>
          <a:off x="57422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198870</xdr:colOff>
      <xdr:row>230</xdr:row>
      <xdr:rowOff>155228</xdr:rowOff>
    </xdr:from>
    <xdr:to>
      <xdr:col>16</xdr:col>
      <xdr:colOff>78003</xdr:colOff>
      <xdr:row>242</xdr:row>
      <xdr:rowOff>19318</xdr:rowOff>
    </xdr:to>
    <xdr:cxnSp macro="">
      <xdr:nvCxnSpPr>
        <xdr:cNvPr id="80" name="Curved Connector 79">
          <a:extLst>
            <a:ext uri="{FF2B5EF4-FFF2-40B4-BE49-F238E27FC236}">
              <a16:creationId xmlns:a16="http://schemas.microsoft.com/office/drawing/2014/main" id="{4B6EB34E-803E-C846-89E5-46099198E59E}"/>
            </a:ext>
          </a:extLst>
        </xdr:cNvPr>
        <xdr:cNvCxnSpPr>
          <a:stCxn id="79" idx="0"/>
          <a:endCxn id="78" idx="2"/>
        </xdr:cNvCxnSpPr>
      </xdr:nvCxnSpPr>
      <xdr:spPr>
        <a:xfrm rot="5400000" flipH="1" flipV="1">
          <a:off x="4232292" y="72398006"/>
          <a:ext cx="3521690" cy="2601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78004</xdr:colOff>
      <xdr:row>230</xdr:row>
      <xdr:rowOff>19317</xdr:rowOff>
    </xdr:from>
    <xdr:to>
      <xdr:col>19</xdr:col>
      <xdr:colOff>319737</xdr:colOff>
      <xdr:row>230</xdr:row>
      <xdr:rowOff>291136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A31AF93D-6C96-244D-9AFF-BBBB75D1591D}"/>
            </a:ext>
          </a:extLst>
        </xdr:cNvPr>
        <xdr:cNvSpPr/>
      </xdr:nvSpPr>
      <xdr:spPr>
        <a:xfrm>
          <a:off x="72535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242</xdr:row>
      <xdr:rowOff>19317</xdr:rowOff>
    </xdr:from>
    <xdr:to>
      <xdr:col>18</xdr:col>
      <xdr:colOff>319737</xdr:colOff>
      <xdr:row>242</xdr:row>
      <xdr:rowOff>291136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286B212E-8CAC-564E-BE99-B786A9E789C9}"/>
            </a:ext>
          </a:extLst>
        </xdr:cNvPr>
        <xdr:cNvSpPr/>
      </xdr:nvSpPr>
      <xdr:spPr>
        <a:xfrm>
          <a:off x="68852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198870</xdr:colOff>
      <xdr:row>230</xdr:row>
      <xdr:rowOff>155228</xdr:rowOff>
    </xdr:from>
    <xdr:to>
      <xdr:col>19</xdr:col>
      <xdr:colOff>78003</xdr:colOff>
      <xdr:row>242</xdr:row>
      <xdr:rowOff>19318</xdr:rowOff>
    </xdr:to>
    <xdr:cxnSp macro="">
      <xdr:nvCxnSpPr>
        <xdr:cNvPr id="83" name="Curved Connector 82">
          <a:extLst>
            <a:ext uri="{FF2B5EF4-FFF2-40B4-BE49-F238E27FC236}">
              <a16:creationId xmlns:a16="http://schemas.microsoft.com/office/drawing/2014/main" id="{90C8D09F-5291-2E40-ADC4-0D5DB8A153E5}"/>
            </a:ext>
          </a:extLst>
        </xdr:cNvPr>
        <xdr:cNvCxnSpPr>
          <a:stCxn id="82" idx="0"/>
          <a:endCxn id="81" idx="2"/>
        </xdr:cNvCxnSpPr>
      </xdr:nvCxnSpPr>
      <xdr:spPr>
        <a:xfrm rot="5400000" flipH="1" flipV="1">
          <a:off x="5368942" y="724043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78004</xdr:colOff>
      <xdr:row>230</xdr:row>
      <xdr:rowOff>19317</xdr:rowOff>
    </xdr:from>
    <xdr:to>
      <xdr:col>22</xdr:col>
      <xdr:colOff>319737</xdr:colOff>
      <xdr:row>230</xdr:row>
      <xdr:rowOff>291136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53F61C26-4410-B145-9D53-FE431F3BF8A0}"/>
            </a:ext>
          </a:extLst>
        </xdr:cNvPr>
        <xdr:cNvSpPr/>
      </xdr:nvSpPr>
      <xdr:spPr>
        <a:xfrm>
          <a:off x="83965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242</xdr:row>
      <xdr:rowOff>19317</xdr:rowOff>
    </xdr:from>
    <xdr:to>
      <xdr:col>21</xdr:col>
      <xdr:colOff>319737</xdr:colOff>
      <xdr:row>242</xdr:row>
      <xdr:rowOff>291136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2C42FF83-114C-E243-A33A-1516CE2B7836}"/>
            </a:ext>
          </a:extLst>
        </xdr:cNvPr>
        <xdr:cNvSpPr/>
      </xdr:nvSpPr>
      <xdr:spPr>
        <a:xfrm>
          <a:off x="80155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198870</xdr:colOff>
      <xdr:row>230</xdr:row>
      <xdr:rowOff>155228</xdr:rowOff>
    </xdr:from>
    <xdr:to>
      <xdr:col>22</xdr:col>
      <xdr:colOff>78003</xdr:colOff>
      <xdr:row>242</xdr:row>
      <xdr:rowOff>19318</xdr:rowOff>
    </xdr:to>
    <xdr:cxnSp macro="">
      <xdr:nvCxnSpPr>
        <xdr:cNvPr id="86" name="Curved Connector 85">
          <a:extLst>
            <a:ext uri="{FF2B5EF4-FFF2-40B4-BE49-F238E27FC236}">
              <a16:creationId xmlns:a16="http://schemas.microsoft.com/office/drawing/2014/main" id="{97A7A432-3A10-8A47-B474-361C7563A667}"/>
            </a:ext>
          </a:extLst>
        </xdr:cNvPr>
        <xdr:cNvCxnSpPr>
          <a:stCxn id="85" idx="0"/>
          <a:endCxn id="84" idx="2"/>
        </xdr:cNvCxnSpPr>
      </xdr:nvCxnSpPr>
      <xdr:spPr>
        <a:xfrm rot="5400000" flipH="1" flipV="1">
          <a:off x="6505592" y="72398006"/>
          <a:ext cx="3521690" cy="2601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78004</xdr:colOff>
      <xdr:row>230</xdr:row>
      <xdr:rowOff>19317</xdr:rowOff>
    </xdr:from>
    <xdr:to>
      <xdr:col>16</xdr:col>
      <xdr:colOff>319737</xdr:colOff>
      <xdr:row>230</xdr:row>
      <xdr:rowOff>291136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052B7FAC-C881-5444-8B35-CEE012DD2BAD}"/>
            </a:ext>
          </a:extLst>
        </xdr:cNvPr>
        <xdr:cNvSpPr/>
      </xdr:nvSpPr>
      <xdr:spPr>
        <a:xfrm>
          <a:off x="61232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78004</xdr:colOff>
      <xdr:row>242</xdr:row>
      <xdr:rowOff>19317</xdr:rowOff>
    </xdr:from>
    <xdr:to>
      <xdr:col>15</xdr:col>
      <xdr:colOff>319737</xdr:colOff>
      <xdr:row>242</xdr:row>
      <xdr:rowOff>291136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D38935A9-15D8-274F-BF21-FEE9636CDAED}"/>
            </a:ext>
          </a:extLst>
        </xdr:cNvPr>
        <xdr:cNvSpPr/>
      </xdr:nvSpPr>
      <xdr:spPr>
        <a:xfrm>
          <a:off x="57422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198870</xdr:colOff>
      <xdr:row>230</xdr:row>
      <xdr:rowOff>155228</xdr:rowOff>
    </xdr:from>
    <xdr:to>
      <xdr:col>16</xdr:col>
      <xdr:colOff>78003</xdr:colOff>
      <xdr:row>242</xdr:row>
      <xdr:rowOff>19318</xdr:rowOff>
    </xdr:to>
    <xdr:cxnSp macro="">
      <xdr:nvCxnSpPr>
        <xdr:cNvPr id="89" name="Curved Connector 88">
          <a:extLst>
            <a:ext uri="{FF2B5EF4-FFF2-40B4-BE49-F238E27FC236}">
              <a16:creationId xmlns:a16="http://schemas.microsoft.com/office/drawing/2014/main" id="{44A42BCF-823D-994E-B34B-A1C83A283C15}"/>
            </a:ext>
          </a:extLst>
        </xdr:cNvPr>
        <xdr:cNvCxnSpPr>
          <a:stCxn id="88" idx="0"/>
          <a:endCxn id="87" idx="2"/>
        </xdr:cNvCxnSpPr>
      </xdr:nvCxnSpPr>
      <xdr:spPr>
        <a:xfrm rot="5400000" flipH="1" flipV="1">
          <a:off x="4232292" y="72398006"/>
          <a:ext cx="3521690" cy="2601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78004</xdr:colOff>
      <xdr:row>230</xdr:row>
      <xdr:rowOff>19317</xdr:rowOff>
    </xdr:from>
    <xdr:to>
      <xdr:col>19</xdr:col>
      <xdr:colOff>319737</xdr:colOff>
      <xdr:row>230</xdr:row>
      <xdr:rowOff>291136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948842D9-F411-504D-8EBB-6447B85DC690}"/>
            </a:ext>
          </a:extLst>
        </xdr:cNvPr>
        <xdr:cNvSpPr/>
      </xdr:nvSpPr>
      <xdr:spPr>
        <a:xfrm>
          <a:off x="72535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242</xdr:row>
      <xdr:rowOff>19317</xdr:rowOff>
    </xdr:from>
    <xdr:to>
      <xdr:col>18</xdr:col>
      <xdr:colOff>319737</xdr:colOff>
      <xdr:row>242</xdr:row>
      <xdr:rowOff>291136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290DFB39-7900-5448-BADC-B620B7ADE611}"/>
            </a:ext>
          </a:extLst>
        </xdr:cNvPr>
        <xdr:cNvSpPr/>
      </xdr:nvSpPr>
      <xdr:spPr>
        <a:xfrm>
          <a:off x="68852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198870</xdr:colOff>
      <xdr:row>230</xdr:row>
      <xdr:rowOff>155228</xdr:rowOff>
    </xdr:from>
    <xdr:to>
      <xdr:col>19</xdr:col>
      <xdr:colOff>78003</xdr:colOff>
      <xdr:row>242</xdr:row>
      <xdr:rowOff>19318</xdr:rowOff>
    </xdr:to>
    <xdr:cxnSp macro="">
      <xdr:nvCxnSpPr>
        <xdr:cNvPr id="92" name="Curved Connector 91">
          <a:extLst>
            <a:ext uri="{FF2B5EF4-FFF2-40B4-BE49-F238E27FC236}">
              <a16:creationId xmlns:a16="http://schemas.microsoft.com/office/drawing/2014/main" id="{857E51DD-794E-4540-8BA2-AEC22FD3E0AF}"/>
            </a:ext>
          </a:extLst>
        </xdr:cNvPr>
        <xdr:cNvCxnSpPr>
          <a:stCxn id="91" idx="0"/>
          <a:endCxn id="90" idx="2"/>
        </xdr:cNvCxnSpPr>
      </xdr:nvCxnSpPr>
      <xdr:spPr>
        <a:xfrm rot="5400000" flipH="1" flipV="1">
          <a:off x="5368942" y="724043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78004</xdr:colOff>
      <xdr:row>230</xdr:row>
      <xdr:rowOff>19317</xdr:rowOff>
    </xdr:from>
    <xdr:to>
      <xdr:col>22</xdr:col>
      <xdr:colOff>319737</xdr:colOff>
      <xdr:row>230</xdr:row>
      <xdr:rowOff>291136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8C29A718-AE9D-D648-AB6F-56F7AD8DD8F4}"/>
            </a:ext>
          </a:extLst>
        </xdr:cNvPr>
        <xdr:cNvSpPr/>
      </xdr:nvSpPr>
      <xdr:spPr>
        <a:xfrm>
          <a:off x="83965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242</xdr:row>
      <xdr:rowOff>19317</xdr:rowOff>
    </xdr:from>
    <xdr:to>
      <xdr:col>21</xdr:col>
      <xdr:colOff>319737</xdr:colOff>
      <xdr:row>242</xdr:row>
      <xdr:rowOff>291136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AE3154FA-D18D-AC45-9030-760EE772D723}"/>
            </a:ext>
          </a:extLst>
        </xdr:cNvPr>
        <xdr:cNvSpPr/>
      </xdr:nvSpPr>
      <xdr:spPr>
        <a:xfrm>
          <a:off x="8015504" y="742889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198870</xdr:colOff>
      <xdr:row>230</xdr:row>
      <xdr:rowOff>155228</xdr:rowOff>
    </xdr:from>
    <xdr:to>
      <xdr:col>22</xdr:col>
      <xdr:colOff>78003</xdr:colOff>
      <xdr:row>242</xdr:row>
      <xdr:rowOff>19318</xdr:rowOff>
    </xdr:to>
    <xdr:cxnSp macro="">
      <xdr:nvCxnSpPr>
        <xdr:cNvPr id="95" name="Curved Connector 94">
          <a:extLst>
            <a:ext uri="{FF2B5EF4-FFF2-40B4-BE49-F238E27FC236}">
              <a16:creationId xmlns:a16="http://schemas.microsoft.com/office/drawing/2014/main" id="{F8E7A137-619F-E145-A18C-381BDA314C63}"/>
            </a:ext>
          </a:extLst>
        </xdr:cNvPr>
        <xdr:cNvCxnSpPr>
          <a:stCxn id="94" idx="0"/>
          <a:endCxn id="93" idx="2"/>
        </xdr:cNvCxnSpPr>
      </xdr:nvCxnSpPr>
      <xdr:spPr>
        <a:xfrm rot="5400000" flipH="1" flipV="1">
          <a:off x="6505592" y="72398006"/>
          <a:ext cx="3521690" cy="2601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78004</xdr:colOff>
      <xdr:row>230</xdr:row>
      <xdr:rowOff>19317</xdr:rowOff>
    </xdr:from>
    <xdr:to>
      <xdr:col>34</xdr:col>
      <xdr:colOff>319737</xdr:colOff>
      <xdr:row>230</xdr:row>
      <xdr:rowOff>291136</xdr:rowOff>
    </xdr:to>
    <xdr:sp macro="" textlink="">
      <xdr:nvSpPr>
        <xdr:cNvPr id="96" name="Oval 95">
          <a:extLst>
            <a:ext uri="{FF2B5EF4-FFF2-40B4-BE49-F238E27FC236}">
              <a16:creationId xmlns:a16="http://schemas.microsoft.com/office/drawing/2014/main" id="{FF56E590-6B63-2248-84BD-A686CD503D64}"/>
            </a:ext>
          </a:extLst>
        </xdr:cNvPr>
        <xdr:cNvSpPr/>
      </xdr:nvSpPr>
      <xdr:spPr>
        <a:xfrm>
          <a:off x="129431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78004</xdr:colOff>
      <xdr:row>241</xdr:row>
      <xdr:rowOff>19317</xdr:rowOff>
    </xdr:from>
    <xdr:to>
      <xdr:col>33</xdr:col>
      <xdr:colOff>319737</xdr:colOff>
      <xdr:row>241</xdr:row>
      <xdr:rowOff>291136</xdr:rowOff>
    </xdr:to>
    <xdr:sp macro="" textlink="">
      <xdr:nvSpPr>
        <xdr:cNvPr id="97" name="Oval 96">
          <a:extLst>
            <a:ext uri="{FF2B5EF4-FFF2-40B4-BE49-F238E27FC236}">
              <a16:creationId xmlns:a16="http://schemas.microsoft.com/office/drawing/2014/main" id="{D504C9A0-A2EC-C846-B3A5-480B9F075E94}"/>
            </a:ext>
          </a:extLst>
        </xdr:cNvPr>
        <xdr:cNvSpPr/>
      </xdr:nvSpPr>
      <xdr:spPr>
        <a:xfrm>
          <a:off x="125748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78004</xdr:colOff>
      <xdr:row>230</xdr:row>
      <xdr:rowOff>19317</xdr:rowOff>
    </xdr:from>
    <xdr:to>
      <xdr:col>37</xdr:col>
      <xdr:colOff>319737</xdr:colOff>
      <xdr:row>230</xdr:row>
      <xdr:rowOff>291136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327A575A-0B99-FA4D-874F-A4C31A970CF8}"/>
            </a:ext>
          </a:extLst>
        </xdr:cNvPr>
        <xdr:cNvSpPr/>
      </xdr:nvSpPr>
      <xdr:spPr>
        <a:xfrm>
          <a:off x="140480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78004</xdr:colOff>
      <xdr:row>241</xdr:row>
      <xdr:rowOff>19317</xdr:rowOff>
    </xdr:from>
    <xdr:to>
      <xdr:col>36</xdr:col>
      <xdr:colOff>319737</xdr:colOff>
      <xdr:row>241</xdr:row>
      <xdr:rowOff>291136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8ED0561B-48AD-EE43-B036-D1837E6865BA}"/>
            </a:ext>
          </a:extLst>
        </xdr:cNvPr>
        <xdr:cNvSpPr/>
      </xdr:nvSpPr>
      <xdr:spPr>
        <a:xfrm>
          <a:off x="136797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198871</xdr:colOff>
      <xdr:row>230</xdr:row>
      <xdr:rowOff>155227</xdr:rowOff>
    </xdr:from>
    <xdr:to>
      <xdr:col>37</xdr:col>
      <xdr:colOff>78004</xdr:colOff>
      <xdr:row>241</xdr:row>
      <xdr:rowOff>19317</xdr:rowOff>
    </xdr:to>
    <xdr:cxnSp macro="">
      <xdr:nvCxnSpPr>
        <xdr:cNvPr id="100" name="Curved Connector 99">
          <a:extLst>
            <a:ext uri="{FF2B5EF4-FFF2-40B4-BE49-F238E27FC236}">
              <a16:creationId xmlns:a16="http://schemas.microsoft.com/office/drawing/2014/main" id="{10621D32-DEE3-6A42-9E76-69B61B52CE49}"/>
            </a:ext>
          </a:extLst>
        </xdr:cNvPr>
        <xdr:cNvCxnSpPr>
          <a:stCxn id="108" idx="0"/>
          <a:endCxn id="98" idx="2"/>
        </xdr:cNvCxnSpPr>
      </xdr:nvCxnSpPr>
      <xdr:spPr>
        <a:xfrm rot="5400000" flipH="1" flipV="1">
          <a:off x="12315843" y="722519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78004</xdr:colOff>
      <xdr:row>230</xdr:row>
      <xdr:rowOff>19317</xdr:rowOff>
    </xdr:from>
    <xdr:to>
      <xdr:col>40</xdr:col>
      <xdr:colOff>319737</xdr:colOff>
      <xdr:row>230</xdr:row>
      <xdr:rowOff>291136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2BEAA0CD-1A30-2A4A-AF61-F98F7BD5BE0E}"/>
            </a:ext>
          </a:extLst>
        </xdr:cNvPr>
        <xdr:cNvSpPr/>
      </xdr:nvSpPr>
      <xdr:spPr>
        <a:xfrm>
          <a:off x="151529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78004</xdr:colOff>
      <xdr:row>241</xdr:row>
      <xdr:rowOff>19317</xdr:rowOff>
    </xdr:from>
    <xdr:to>
      <xdr:col>39</xdr:col>
      <xdr:colOff>319737</xdr:colOff>
      <xdr:row>241</xdr:row>
      <xdr:rowOff>291136</xdr:rowOff>
    </xdr:to>
    <xdr:sp macro="" textlink="">
      <xdr:nvSpPr>
        <xdr:cNvPr id="102" name="Oval 101">
          <a:extLst>
            <a:ext uri="{FF2B5EF4-FFF2-40B4-BE49-F238E27FC236}">
              <a16:creationId xmlns:a16="http://schemas.microsoft.com/office/drawing/2014/main" id="{C6A2631B-6F21-5747-BBCC-F84FBF057E0B}"/>
            </a:ext>
          </a:extLst>
        </xdr:cNvPr>
        <xdr:cNvSpPr/>
      </xdr:nvSpPr>
      <xdr:spPr>
        <a:xfrm>
          <a:off x="147846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198871</xdr:colOff>
      <xdr:row>230</xdr:row>
      <xdr:rowOff>155227</xdr:rowOff>
    </xdr:from>
    <xdr:to>
      <xdr:col>40</xdr:col>
      <xdr:colOff>78004</xdr:colOff>
      <xdr:row>241</xdr:row>
      <xdr:rowOff>19317</xdr:rowOff>
    </xdr:to>
    <xdr:cxnSp macro="">
      <xdr:nvCxnSpPr>
        <xdr:cNvPr id="103" name="Curved Connector 102">
          <a:extLst>
            <a:ext uri="{FF2B5EF4-FFF2-40B4-BE49-F238E27FC236}">
              <a16:creationId xmlns:a16="http://schemas.microsoft.com/office/drawing/2014/main" id="{B20E41BE-8EDA-7C4C-9435-D603661331AB}"/>
            </a:ext>
          </a:extLst>
        </xdr:cNvPr>
        <xdr:cNvCxnSpPr>
          <a:stCxn id="110" idx="0"/>
          <a:endCxn id="101" idx="2"/>
        </xdr:cNvCxnSpPr>
      </xdr:nvCxnSpPr>
      <xdr:spPr>
        <a:xfrm rot="5400000" flipH="1" flipV="1">
          <a:off x="13420743" y="722519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78004</xdr:colOff>
      <xdr:row>230</xdr:row>
      <xdr:rowOff>19317</xdr:rowOff>
    </xdr:from>
    <xdr:to>
      <xdr:col>34</xdr:col>
      <xdr:colOff>319737</xdr:colOff>
      <xdr:row>230</xdr:row>
      <xdr:rowOff>291136</xdr:rowOff>
    </xdr:to>
    <xdr:sp macro="" textlink="">
      <xdr:nvSpPr>
        <xdr:cNvPr id="104" name="Oval 103">
          <a:extLst>
            <a:ext uri="{FF2B5EF4-FFF2-40B4-BE49-F238E27FC236}">
              <a16:creationId xmlns:a16="http://schemas.microsoft.com/office/drawing/2014/main" id="{9B547030-71D2-AF49-97C2-11EF1C0EDE49}"/>
            </a:ext>
          </a:extLst>
        </xdr:cNvPr>
        <xdr:cNvSpPr/>
      </xdr:nvSpPr>
      <xdr:spPr>
        <a:xfrm>
          <a:off x="129431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78004</xdr:colOff>
      <xdr:row>241</xdr:row>
      <xdr:rowOff>19317</xdr:rowOff>
    </xdr:from>
    <xdr:to>
      <xdr:col>33</xdr:col>
      <xdr:colOff>319737</xdr:colOff>
      <xdr:row>241</xdr:row>
      <xdr:rowOff>291136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65A671CA-36F4-2A44-87C6-982FC42BF5D1}"/>
            </a:ext>
          </a:extLst>
        </xdr:cNvPr>
        <xdr:cNvSpPr/>
      </xdr:nvSpPr>
      <xdr:spPr>
        <a:xfrm>
          <a:off x="125748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198871</xdr:colOff>
      <xdr:row>230</xdr:row>
      <xdr:rowOff>155227</xdr:rowOff>
    </xdr:from>
    <xdr:to>
      <xdr:col>34</xdr:col>
      <xdr:colOff>78004</xdr:colOff>
      <xdr:row>241</xdr:row>
      <xdr:rowOff>19317</xdr:rowOff>
    </xdr:to>
    <xdr:cxnSp macro="">
      <xdr:nvCxnSpPr>
        <xdr:cNvPr id="106" name="Curved Connector 105">
          <a:extLst>
            <a:ext uri="{FF2B5EF4-FFF2-40B4-BE49-F238E27FC236}">
              <a16:creationId xmlns:a16="http://schemas.microsoft.com/office/drawing/2014/main" id="{E8523089-9AF9-7F4D-A907-C83E7200000F}"/>
            </a:ext>
          </a:extLst>
        </xdr:cNvPr>
        <xdr:cNvCxnSpPr>
          <a:stCxn id="105" idx="0"/>
          <a:endCxn id="104" idx="2"/>
        </xdr:cNvCxnSpPr>
      </xdr:nvCxnSpPr>
      <xdr:spPr>
        <a:xfrm rot="5400000" flipH="1" flipV="1">
          <a:off x="11210943" y="722519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78004</xdr:colOff>
      <xdr:row>230</xdr:row>
      <xdr:rowOff>19317</xdr:rowOff>
    </xdr:from>
    <xdr:to>
      <xdr:col>37</xdr:col>
      <xdr:colOff>319737</xdr:colOff>
      <xdr:row>230</xdr:row>
      <xdr:rowOff>291136</xdr:rowOff>
    </xdr:to>
    <xdr:sp macro="" textlink="">
      <xdr:nvSpPr>
        <xdr:cNvPr id="107" name="Oval 106">
          <a:extLst>
            <a:ext uri="{FF2B5EF4-FFF2-40B4-BE49-F238E27FC236}">
              <a16:creationId xmlns:a16="http://schemas.microsoft.com/office/drawing/2014/main" id="{A664F779-EA60-8641-8E5B-AE1BF57EDE73}"/>
            </a:ext>
          </a:extLst>
        </xdr:cNvPr>
        <xdr:cNvSpPr/>
      </xdr:nvSpPr>
      <xdr:spPr>
        <a:xfrm>
          <a:off x="140480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78004</xdr:colOff>
      <xdr:row>241</xdr:row>
      <xdr:rowOff>19317</xdr:rowOff>
    </xdr:from>
    <xdr:to>
      <xdr:col>36</xdr:col>
      <xdr:colOff>319737</xdr:colOff>
      <xdr:row>241</xdr:row>
      <xdr:rowOff>291136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3541AE75-E6B8-A945-9C9C-6F37AFC622F1}"/>
            </a:ext>
          </a:extLst>
        </xdr:cNvPr>
        <xdr:cNvSpPr/>
      </xdr:nvSpPr>
      <xdr:spPr>
        <a:xfrm>
          <a:off x="136797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78004</xdr:colOff>
      <xdr:row>230</xdr:row>
      <xdr:rowOff>19317</xdr:rowOff>
    </xdr:from>
    <xdr:to>
      <xdr:col>40</xdr:col>
      <xdr:colOff>319737</xdr:colOff>
      <xdr:row>230</xdr:row>
      <xdr:rowOff>291136</xdr:rowOff>
    </xdr:to>
    <xdr:sp macro="" textlink="">
      <xdr:nvSpPr>
        <xdr:cNvPr id="109" name="Oval 108">
          <a:extLst>
            <a:ext uri="{FF2B5EF4-FFF2-40B4-BE49-F238E27FC236}">
              <a16:creationId xmlns:a16="http://schemas.microsoft.com/office/drawing/2014/main" id="{F85F8C4E-8899-1148-9262-7E984E5432A6}"/>
            </a:ext>
          </a:extLst>
        </xdr:cNvPr>
        <xdr:cNvSpPr/>
      </xdr:nvSpPr>
      <xdr:spPr>
        <a:xfrm>
          <a:off x="151529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78004</xdr:colOff>
      <xdr:row>241</xdr:row>
      <xdr:rowOff>19317</xdr:rowOff>
    </xdr:from>
    <xdr:to>
      <xdr:col>39</xdr:col>
      <xdr:colOff>319737</xdr:colOff>
      <xdr:row>241</xdr:row>
      <xdr:rowOff>291136</xdr:rowOff>
    </xdr:to>
    <xdr:sp macro="" textlink="">
      <xdr:nvSpPr>
        <xdr:cNvPr id="110" name="Oval 109">
          <a:extLst>
            <a:ext uri="{FF2B5EF4-FFF2-40B4-BE49-F238E27FC236}">
              <a16:creationId xmlns:a16="http://schemas.microsoft.com/office/drawing/2014/main" id="{FDD4B821-D285-2841-90DF-C0B05F5F2542}"/>
            </a:ext>
          </a:extLst>
        </xdr:cNvPr>
        <xdr:cNvSpPr/>
      </xdr:nvSpPr>
      <xdr:spPr>
        <a:xfrm>
          <a:off x="14784604" y="73984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78004</xdr:colOff>
      <xdr:row>230</xdr:row>
      <xdr:rowOff>19317</xdr:rowOff>
    </xdr:from>
    <xdr:to>
      <xdr:col>31</xdr:col>
      <xdr:colOff>319737</xdr:colOff>
      <xdr:row>230</xdr:row>
      <xdr:rowOff>291136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A02E5EE-77BA-3641-8AC7-ADEA4E264ABE}"/>
            </a:ext>
          </a:extLst>
        </xdr:cNvPr>
        <xdr:cNvSpPr/>
      </xdr:nvSpPr>
      <xdr:spPr>
        <a:xfrm>
          <a:off x="117874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78004</xdr:colOff>
      <xdr:row>230</xdr:row>
      <xdr:rowOff>19317</xdr:rowOff>
    </xdr:from>
    <xdr:to>
      <xdr:col>31</xdr:col>
      <xdr:colOff>319737</xdr:colOff>
      <xdr:row>230</xdr:row>
      <xdr:rowOff>291136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F6B76E96-F3B4-BC42-B100-FB6A04EE8110}"/>
            </a:ext>
          </a:extLst>
        </xdr:cNvPr>
        <xdr:cNvSpPr/>
      </xdr:nvSpPr>
      <xdr:spPr>
        <a:xfrm>
          <a:off x="11787404" y="70631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78004</xdr:colOff>
      <xdr:row>248</xdr:row>
      <xdr:rowOff>19317</xdr:rowOff>
    </xdr:from>
    <xdr:to>
      <xdr:col>24</xdr:col>
      <xdr:colOff>319737</xdr:colOff>
      <xdr:row>248</xdr:row>
      <xdr:rowOff>291136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2B6A0758-FF6A-B441-A483-CF7BA83DEB86}"/>
            </a:ext>
          </a:extLst>
        </xdr:cNvPr>
        <xdr:cNvSpPr/>
      </xdr:nvSpPr>
      <xdr:spPr>
        <a:xfrm>
          <a:off x="9145804" y="76117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78004</xdr:colOff>
      <xdr:row>248</xdr:row>
      <xdr:rowOff>19317</xdr:rowOff>
    </xdr:from>
    <xdr:to>
      <xdr:col>24</xdr:col>
      <xdr:colOff>319737</xdr:colOff>
      <xdr:row>248</xdr:row>
      <xdr:rowOff>291136</xdr:rowOff>
    </xdr:to>
    <xdr:sp macro="" textlink="">
      <xdr:nvSpPr>
        <xdr:cNvPr id="114" name="Oval 113">
          <a:extLst>
            <a:ext uri="{FF2B5EF4-FFF2-40B4-BE49-F238E27FC236}">
              <a16:creationId xmlns:a16="http://schemas.microsoft.com/office/drawing/2014/main" id="{71001826-47BE-4C4A-BE43-7099669E66A8}"/>
            </a:ext>
          </a:extLst>
        </xdr:cNvPr>
        <xdr:cNvSpPr/>
      </xdr:nvSpPr>
      <xdr:spPr>
        <a:xfrm>
          <a:off x="9145804" y="76117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230</xdr:row>
      <xdr:rowOff>155227</xdr:rowOff>
    </xdr:from>
    <xdr:to>
      <xdr:col>31</xdr:col>
      <xdr:colOff>78004</xdr:colOff>
      <xdr:row>248</xdr:row>
      <xdr:rowOff>19317</xdr:rowOff>
    </xdr:to>
    <xdr:cxnSp macro="">
      <xdr:nvCxnSpPr>
        <xdr:cNvPr id="115" name="Curved Connector 114">
          <a:extLst>
            <a:ext uri="{FF2B5EF4-FFF2-40B4-BE49-F238E27FC236}">
              <a16:creationId xmlns:a16="http://schemas.microsoft.com/office/drawing/2014/main" id="{D25A451B-EC03-B340-9490-2EA49C27067B}"/>
            </a:ext>
          </a:extLst>
        </xdr:cNvPr>
        <xdr:cNvCxnSpPr>
          <a:stCxn id="114" idx="0"/>
          <a:endCxn id="112" idx="2"/>
        </xdr:cNvCxnSpPr>
      </xdr:nvCxnSpPr>
      <xdr:spPr>
        <a:xfrm rot="5400000" flipH="1" flipV="1">
          <a:off x="7851793" y="72182105"/>
          <a:ext cx="5350490" cy="25207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109247</xdr:colOff>
      <xdr:row>115</xdr:row>
      <xdr:rowOff>0</xdr:rowOff>
    </xdr:from>
    <xdr:to>
      <xdr:col>12</xdr:col>
      <xdr:colOff>279856</xdr:colOff>
      <xdr:row>118</xdr:row>
      <xdr:rowOff>216306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5FA6CA6B-FE3F-7D48-995F-353D8FC1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547" y="35458400"/>
          <a:ext cx="4323509" cy="11307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150213</xdr:rowOff>
    </xdr:from>
    <xdr:to>
      <xdr:col>21</xdr:col>
      <xdr:colOff>211083</xdr:colOff>
      <xdr:row>123</xdr:row>
      <xdr:rowOff>24672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F3F01958-BC7C-D241-8B73-B7863E822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36827813"/>
          <a:ext cx="7780283" cy="1093659"/>
        </a:xfrm>
        <a:prstGeom prst="rect">
          <a:avLst/>
        </a:prstGeom>
      </xdr:spPr>
    </xdr:pic>
    <xdr:clientData/>
  </xdr:twoCellAnchor>
  <xdr:twoCellAnchor editAs="oneCell">
    <xdr:from>
      <xdr:col>1</xdr:col>
      <xdr:colOff>150213</xdr:colOff>
      <xdr:row>169</xdr:row>
      <xdr:rowOff>122902</xdr:rowOff>
    </xdr:from>
    <xdr:to>
      <xdr:col>24</xdr:col>
      <xdr:colOff>123052</xdr:colOff>
      <xdr:row>173</xdr:row>
      <xdr:rowOff>54622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4509528D-BFB9-D942-A3F3-D7C4D2E12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513" y="52040502"/>
          <a:ext cx="8672339" cy="1150920"/>
        </a:xfrm>
        <a:prstGeom prst="rect">
          <a:avLst/>
        </a:prstGeom>
      </xdr:spPr>
    </xdr:pic>
    <xdr:clientData/>
  </xdr:twoCellAnchor>
  <xdr:twoCellAnchor editAs="oneCell">
    <xdr:from>
      <xdr:col>1</xdr:col>
      <xdr:colOff>218787</xdr:colOff>
      <xdr:row>382</xdr:row>
      <xdr:rowOff>236683</xdr:rowOff>
    </xdr:from>
    <xdr:to>
      <xdr:col>18</xdr:col>
      <xdr:colOff>237260</xdr:colOff>
      <xdr:row>398</xdr:row>
      <xdr:rowOff>273556</xdr:rowOff>
    </xdr:to>
    <xdr:pic>
      <xdr:nvPicPr>
        <xdr:cNvPr id="119" name="Picture 118" descr="Vision Transformer Explained | Papers With Code">
          <a:extLst>
            <a:ext uri="{FF2B5EF4-FFF2-40B4-BE49-F238E27FC236}">
              <a16:creationId xmlns:a16="http://schemas.microsoft.com/office/drawing/2014/main" id="{47BC7A1D-465F-A446-A23A-23F6E9EB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87" y="117584683"/>
          <a:ext cx="6457373" cy="4913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58615</xdr:rowOff>
    </xdr:from>
    <xdr:to>
      <xdr:col>14</xdr:col>
      <xdr:colOff>146304</xdr:colOff>
      <xdr:row>467</xdr:row>
      <xdr:rowOff>253999</xdr:rowOff>
    </xdr:to>
    <xdr:pic>
      <xdr:nvPicPr>
        <xdr:cNvPr id="120" name="Picture 119" descr="Vision Transformer Explained | Papers With Code">
          <a:extLst>
            <a:ext uri="{FF2B5EF4-FFF2-40B4-BE49-F238E27FC236}">
              <a16:creationId xmlns:a16="http://schemas.microsoft.com/office/drawing/2014/main" id="{BB3BCBD3-2B86-DC44-9FEC-2F5E39E0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139758615"/>
          <a:ext cx="5061204" cy="385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343</xdr:row>
      <xdr:rowOff>66146</xdr:rowOff>
    </xdr:from>
    <xdr:to>
      <xdr:col>16</xdr:col>
      <xdr:colOff>171978</xdr:colOff>
      <xdr:row>347</xdr:row>
      <xdr:rowOff>198437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5630030D-8028-184A-914F-525ABBE59BDE}"/>
            </a:ext>
          </a:extLst>
        </xdr:cNvPr>
        <xdr:cNvSpPr/>
      </xdr:nvSpPr>
      <xdr:spPr>
        <a:xfrm>
          <a:off x="3536950" y="105425346"/>
          <a:ext cx="2680228" cy="1351491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311484</xdr:colOff>
      <xdr:row>342</xdr:row>
      <xdr:rowOff>18716</xdr:rowOff>
    </xdr:from>
    <xdr:to>
      <xdr:col>17</xdr:col>
      <xdr:colOff>170597</xdr:colOff>
      <xdr:row>367</xdr:row>
      <xdr:rowOff>175172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054C0E6-E1A1-6B40-8346-BD8038A8409A}"/>
            </a:ext>
          </a:extLst>
        </xdr:cNvPr>
        <xdr:cNvSpPr/>
      </xdr:nvSpPr>
      <xdr:spPr>
        <a:xfrm>
          <a:off x="1048084" y="105073116"/>
          <a:ext cx="5548713" cy="777645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Feed</a:t>
          </a:r>
          <a:r>
            <a:rPr lang="en-US" sz="3000" baseline="0">
              <a:solidFill>
                <a:schemeClr val="tx1"/>
              </a:solidFill>
            </a:rPr>
            <a:t> Forward</a:t>
          </a:r>
          <a:endParaRPr lang="en-US" sz="3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290721</xdr:colOff>
      <xdr:row>550</xdr:row>
      <xdr:rowOff>61205</xdr:rowOff>
    </xdr:from>
    <xdr:to>
      <xdr:col>34</xdr:col>
      <xdr:colOff>306023</xdr:colOff>
      <xdr:row>554</xdr:row>
      <xdr:rowOff>198916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33FE92F2-E3F9-D447-BFA5-4D011FC486C2}"/>
            </a:ext>
          </a:extLst>
        </xdr:cNvPr>
        <xdr:cNvSpPr/>
      </xdr:nvSpPr>
      <xdr:spPr>
        <a:xfrm>
          <a:off x="1789321" y="168818805"/>
          <a:ext cx="11381802" cy="1356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63062</xdr:colOff>
      <xdr:row>270</xdr:row>
      <xdr:rowOff>19772</xdr:rowOff>
    </xdr:from>
    <xdr:to>
      <xdr:col>2</xdr:col>
      <xdr:colOff>304795</xdr:colOff>
      <xdr:row>270</xdr:row>
      <xdr:rowOff>291591</xdr:rowOff>
    </xdr:to>
    <xdr:sp macro="" textlink="">
      <xdr:nvSpPr>
        <xdr:cNvPr id="302" name="Oval 301">
          <a:extLst>
            <a:ext uri="{FF2B5EF4-FFF2-40B4-BE49-F238E27FC236}">
              <a16:creationId xmlns:a16="http://schemas.microsoft.com/office/drawing/2014/main" id="{72BDD075-DDB8-EF48-BD61-89F3C0052186}"/>
            </a:ext>
          </a:extLst>
        </xdr:cNvPr>
        <xdr:cNvSpPr/>
      </xdr:nvSpPr>
      <xdr:spPr>
        <a:xfrm>
          <a:off x="793747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63062</xdr:colOff>
      <xdr:row>270</xdr:row>
      <xdr:rowOff>19772</xdr:rowOff>
    </xdr:from>
    <xdr:to>
      <xdr:col>3</xdr:col>
      <xdr:colOff>304795</xdr:colOff>
      <xdr:row>270</xdr:row>
      <xdr:rowOff>291591</xdr:rowOff>
    </xdr:to>
    <xdr:sp macro="" textlink="">
      <xdr:nvSpPr>
        <xdr:cNvPr id="303" name="Oval 302">
          <a:extLst>
            <a:ext uri="{FF2B5EF4-FFF2-40B4-BE49-F238E27FC236}">
              <a16:creationId xmlns:a16="http://schemas.microsoft.com/office/drawing/2014/main" id="{604FFE9C-D35B-E142-B7CE-3575CBCA708B}"/>
            </a:ext>
          </a:extLst>
        </xdr:cNvPr>
        <xdr:cNvSpPr/>
      </xdr:nvSpPr>
      <xdr:spPr>
        <a:xfrm>
          <a:off x="1159089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63062</xdr:colOff>
      <xdr:row>270</xdr:row>
      <xdr:rowOff>19772</xdr:rowOff>
    </xdr:from>
    <xdr:to>
      <xdr:col>4</xdr:col>
      <xdr:colOff>304795</xdr:colOff>
      <xdr:row>270</xdr:row>
      <xdr:rowOff>291591</xdr:rowOff>
    </xdr:to>
    <xdr:sp macro="" textlink="">
      <xdr:nvSpPr>
        <xdr:cNvPr id="304" name="Oval 303">
          <a:extLst>
            <a:ext uri="{FF2B5EF4-FFF2-40B4-BE49-F238E27FC236}">
              <a16:creationId xmlns:a16="http://schemas.microsoft.com/office/drawing/2014/main" id="{F32BD50E-E1E4-504F-BF65-BAD1DC0F8661}"/>
            </a:ext>
          </a:extLst>
        </xdr:cNvPr>
        <xdr:cNvSpPr/>
      </xdr:nvSpPr>
      <xdr:spPr>
        <a:xfrm>
          <a:off x="1524432" y="26950731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78004</xdr:colOff>
      <xdr:row>282</xdr:row>
      <xdr:rowOff>19317</xdr:rowOff>
    </xdr:from>
    <xdr:to>
      <xdr:col>2</xdr:col>
      <xdr:colOff>319737</xdr:colOff>
      <xdr:row>282</xdr:row>
      <xdr:rowOff>291136</xdr:rowOff>
    </xdr:to>
    <xdr:sp macro="" textlink="">
      <xdr:nvSpPr>
        <xdr:cNvPr id="305" name="Oval 304">
          <a:extLst>
            <a:ext uri="{FF2B5EF4-FFF2-40B4-BE49-F238E27FC236}">
              <a16:creationId xmlns:a16="http://schemas.microsoft.com/office/drawing/2014/main" id="{C233026F-45D6-9746-B376-8C3728944D45}"/>
            </a:ext>
          </a:extLst>
        </xdr:cNvPr>
        <xdr:cNvSpPr/>
      </xdr:nvSpPr>
      <xdr:spPr>
        <a:xfrm>
          <a:off x="808689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282</xdr:row>
      <xdr:rowOff>19317</xdr:rowOff>
    </xdr:from>
    <xdr:to>
      <xdr:col>3</xdr:col>
      <xdr:colOff>319737</xdr:colOff>
      <xdr:row>282</xdr:row>
      <xdr:rowOff>291136</xdr:rowOff>
    </xdr:to>
    <xdr:sp macro="" textlink="">
      <xdr:nvSpPr>
        <xdr:cNvPr id="306" name="Oval 305">
          <a:extLst>
            <a:ext uri="{FF2B5EF4-FFF2-40B4-BE49-F238E27FC236}">
              <a16:creationId xmlns:a16="http://schemas.microsoft.com/office/drawing/2014/main" id="{952DC8C6-1F02-224B-A9B3-F75C17C12060}"/>
            </a:ext>
          </a:extLst>
        </xdr:cNvPr>
        <xdr:cNvSpPr/>
      </xdr:nvSpPr>
      <xdr:spPr>
        <a:xfrm>
          <a:off x="1174031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78004</xdr:colOff>
      <xdr:row>282</xdr:row>
      <xdr:rowOff>19317</xdr:rowOff>
    </xdr:from>
    <xdr:to>
      <xdr:col>4</xdr:col>
      <xdr:colOff>319737</xdr:colOff>
      <xdr:row>282</xdr:row>
      <xdr:rowOff>291136</xdr:rowOff>
    </xdr:to>
    <xdr:sp macro="" textlink="">
      <xdr:nvSpPr>
        <xdr:cNvPr id="307" name="Oval 306">
          <a:extLst>
            <a:ext uri="{FF2B5EF4-FFF2-40B4-BE49-F238E27FC236}">
              <a16:creationId xmlns:a16="http://schemas.microsoft.com/office/drawing/2014/main" id="{01C7EC89-4B60-6748-84F4-023BC0333D5E}"/>
            </a:ext>
          </a:extLst>
        </xdr:cNvPr>
        <xdr:cNvSpPr/>
      </xdr:nvSpPr>
      <xdr:spPr>
        <a:xfrm>
          <a:off x="1539374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78004</xdr:colOff>
      <xdr:row>282</xdr:row>
      <xdr:rowOff>19317</xdr:rowOff>
    </xdr:from>
    <xdr:to>
      <xdr:col>5</xdr:col>
      <xdr:colOff>319737</xdr:colOff>
      <xdr:row>282</xdr:row>
      <xdr:rowOff>291136</xdr:rowOff>
    </xdr:to>
    <xdr:sp macro="" textlink="">
      <xdr:nvSpPr>
        <xdr:cNvPr id="308" name="Oval 307">
          <a:extLst>
            <a:ext uri="{FF2B5EF4-FFF2-40B4-BE49-F238E27FC236}">
              <a16:creationId xmlns:a16="http://schemas.microsoft.com/office/drawing/2014/main" id="{302C7153-60CB-1747-9B11-B601FB665AF2}"/>
            </a:ext>
          </a:extLst>
        </xdr:cNvPr>
        <xdr:cNvSpPr/>
      </xdr:nvSpPr>
      <xdr:spPr>
        <a:xfrm>
          <a:off x="1904716" y="30708084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183929</xdr:colOff>
      <xdr:row>270</xdr:row>
      <xdr:rowOff>291591</xdr:rowOff>
    </xdr:from>
    <xdr:to>
      <xdr:col>2</xdr:col>
      <xdr:colOff>198871</xdr:colOff>
      <xdr:row>282</xdr:row>
      <xdr:rowOff>19317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7F035D94-A045-E346-BE64-2341F02172C0}"/>
            </a:ext>
          </a:extLst>
        </xdr:cNvPr>
        <xdr:cNvCxnSpPr>
          <a:stCxn id="302" idx="4"/>
          <a:endCxn id="305" idx="0"/>
        </xdr:cNvCxnSpPr>
      </xdr:nvCxnSpPr>
      <xdr:spPr>
        <a:xfrm>
          <a:off x="914614" y="27222550"/>
          <a:ext cx="14942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3</xdr:col>
      <xdr:colOff>198871</xdr:colOff>
      <xdr:row>282</xdr:row>
      <xdr:rowOff>19317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D3390499-20BC-644E-B0AA-DDA948849194}"/>
            </a:ext>
          </a:extLst>
        </xdr:cNvPr>
        <xdr:cNvCxnSpPr>
          <a:stCxn id="303" idx="4"/>
          <a:endCxn id="306" idx="0"/>
        </xdr:cNvCxnSpPr>
      </xdr:nvCxnSpPr>
      <xdr:spPr>
        <a:xfrm>
          <a:off x="1279956" y="27222550"/>
          <a:ext cx="14942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0CCC2F71-624E-9048-98A4-9645CCFF061A}"/>
            </a:ext>
          </a:extLst>
        </xdr:cNvPr>
        <xdr:cNvCxnSpPr>
          <a:stCxn id="304" idx="4"/>
          <a:endCxn id="307" idx="0"/>
        </xdr:cNvCxnSpPr>
      </xdr:nvCxnSpPr>
      <xdr:spPr>
        <a:xfrm>
          <a:off x="1649969" y="13179108"/>
          <a:ext cx="14942" cy="3409873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CA173CB6-FBA0-A641-A516-781E55D3656B}"/>
            </a:ext>
          </a:extLst>
        </xdr:cNvPr>
        <xdr:cNvCxnSpPr>
          <a:stCxn id="304" idx="4"/>
          <a:endCxn id="308" idx="0"/>
        </xdr:cNvCxnSpPr>
      </xdr:nvCxnSpPr>
      <xdr:spPr>
        <a:xfrm>
          <a:off x="1645299" y="27222550"/>
          <a:ext cx="380284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270</xdr:row>
      <xdr:rowOff>291591</xdr:rowOff>
    </xdr:from>
    <xdr:to>
      <xdr:col>4</xdr:col>
      <xdr:colOff>183929</xdr:colOff>
      <xdr:row>282</xdr:row>
      <xdr:rowOff>19317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AA3A4C50-7525-4C44-A003-87CA667ED5DA}"/>
            </a:ext>
          </a:extLst>
        </xdr:cNvPr>
        <xdr:cNvCxnSpPr>
          <a:stCxn id="304" idx="4"/>
          <a:endCxn id="306" idx="0"/>
        </xdr:cNvCxnSpPr>
      </xdr:nvCxnSpPr>
      <xdr:spPr>
        <a:xfrm flipH="1">
          <a:off x="1294898" y="27222550"/>
          <a:ext cx="350401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270</xdr:row>
      <xdr:rowOff>291591</xdr:rowOff>
    </xdr:from>
    <xdr:to>
      <xdr:col>4</xdr:col>
      <xdr:colOff>183929</xdr:colOff>
      <xdr:row>282</xdr:row>
      <xdr:rowOff>19317</xdr:rowOff>
    </xdr:to>
    <xdr:cxnSp macro="">
      <xdr:nvCxnSpPr>
        <xdr:cNvPr id="314" name="Straight Connector 313">
          <a:extLst>
            <a:ext uri="{FF2B5EF4-FFF2-40B4-BE49-F238E27FC236}">
              <a16:creationId xmlns:a16="http://schemas.microsoft.com/office/drawing/2014/main" id="{62DE9AD5-C709-6940-AB90-4DAB544FC79B}"/>
            </a:ext>
          </a:extLst>
        </xdr:cNvPr>
        <xdr:cNvCxnSpPr>
          <a:stCxn id="304" idx="4"/>
          <a:endCxn id="305" idx="0"/>
        </xdr:cNvCxnSpPr>
      </xdr:nvCxnSpPr>
      <xdr:spPr>
        <a:xfrm flipH="1">
          <a:off x="929556" y="13443920"/>
          <a:ext cx="715743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270</xdr:row>
      <xdr:rowOff>291591</xdr:rowOff>
    </xdr:from>
    <xdr:to>
      <xdr:col>3</xdr:col>
      <xdr:colOff>183929</xdr:colOff>
      <xdr:row>282</xdr:row>
      <xdr:rowOff>19317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27720888-BA35-6E4B-8A82-59F2AA7B57DE}"/>
            </a:ext>
          </a:extLst>
        </xdr:cNvPr>
        <xdr:cNvCxnSpPr>
          <a:stCxn id="303" idx="4"/>
          <a:endCxn id="305" idx="0"/>
        </xdr:cNvCxnSpPr>
      </xdr:nvCxnSpPr>
      <xdr:spPr>
        <a:xfrm flipH="1">
          <a:off x="929556" y="27222550"/>
          <a:ext cx="350400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3</xdr:col>
      <xdr:colOff>198871</xdr:colOff>
      <xdr:row>282</xdr:row>
      <xdr:rowOff>19317</xdr:rowOff>
    </xdr:to>
    <xdr:cxnSp macro="">
      <xdr:nvCxnSpPr>
        <xdr:cNvPr id="316" name="Straight Connector 315">
          <a:extLst>
            <a:ext uri="{FF2B5EF4-FFF2-40B4-BE49-F238E27FC236}">
              <a16:creationId xmlns:a16="http://schemas.microsoft.com/office/drawing/2014/main" id="{64E21446-6232-9E4A-8139-5D973DC442DD}"/>
            </a:ext>
          </a:extLst>
        </xdr:cNvPr>
        <xdr:cNvCxnSpPr>
          <a:stCxn id="302" idx="4"/>
          <a:endCxn id="306" idx="0"/>
        </xdr:cNvCxnSpPr>
      </xdr:nvCxnSpPr>
      <xdr:spPr>
        <a:xfrm>
          <a:off x="914614" y="27222550"/>
          <a:ext cx="380284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82135561-7043-9B49-85BE-928A19033E84}"/>
            </a:ext>
          </a:extLst>
        </xdr:cNvPr>
        <xdr:cNvCxnSpPr>
          <a:stCxn id="302" idx="4"/>
          <a:endCxn id="307" idx="0"/>
        </xdr:cNvCxnSpPr>
      </xdr:nvCxnSpPr>
      <xdr:spPr>
        <a:xfrm>
          <a:off x="914614" y="27222550"/>
          <a:ext cx="745627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318" name="Straight Connector 317">
          <a:extLst>
            <a:ext uri="{FF2B5EF4-FFF2-40B4-BE49-F238E27FC236}">
              <a16:creationId xmlns:a16="http://schemas.microsoft.com/office/drawing/2014/main" id="{22291EEB-4A43-C44C-927C-C87A47BDF2EF}"/>
            </a:ext>
          </a:extLst>
        </xdr:cNvPr>
        <xdr:cNvCxnSpPr>
          <a:stCxn id="302" idx="4"/>
          <a:endCxn id="308" idx="0"/>
        </xdr:cNvCxnSpPr>
      </xdr:nvCxnSpPr>
      <xdr:spPr>
        <a:xfrm>
          <a:off x="914614" y="27222550"/>
          <a:ext cx="1110969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5</xdr:col>
      <xdr:colOff>198871</xdr:colOff>
      <xdr:row>282</xdr:row>
      <xdr:rowOff>19317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F34F0DC7-72DE-D248-B9D1-D237739B4A26}"/>
            </a:ext>
          </a:extLst>
        </xdr:cNvPr>
        <xdr:cNvCxnSpPr>
          <a:stCxn id="303" idx="4"/>
          <a:endCxn id="308" idx="0"/>
        </xdr:cNvCxnSpPr>
      </xdr:nvCxnSpPr>
      <xdr:spPr>
        <a:xfrm>
          <a:off x="1279956" y="27222550"/>
          <a:ext cx="745627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183929</xdr:colOff>
      <xdr:row>270</xdr:row>
      <xdr:rowOff>291591</xdr:rowOff>
    </xdr:from>
    <xdr:to>
      <xdr:col>4</xdr:col>
      <xdr:colOff>198871</xdr:colOff>
      <xdr:row>282</xdr:row>
      <xdr:rowOff>19317</xdr:rowOff>
    </xdr:to>
    <xdr:cxnSp macro="">
      <xdr:nvCxnSpPr>
        <xdr:cNvPr id="320" name="Straight Connector 319">
          <a:extLst>
            <a:ext uri="{FF2B5EF4-FFF2-40B4-BE49-F238E27FC236}">
              <a16:creationId xmlns:a16="http://schemas.microsoft.com/office/drawing/2014/main" id="{F7516904-37BD-8C49-8B2F-2576FE75D521}"/>
            </a:ext>
          </a:extLst>
        </xdr:cNvPr>
        <xdr:cNvCxnSpPr>
          <a:stCxn id="303" idx="4"/>
          <a:endCxn id="307" idx="0"/>
        </xdr:cNvCxnSpPr>
      </xdr:nvCxnSpPr>
      <xdr:spPr>
        <a:xfrm>
          <a:off x="1279956" y="27222550"/>
          <a:ext cx="380285" cy="3485534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78004</xdr:colOff>
      <xdr:row>291</xdr:row>
      <xdr:rowOff>19336</xdr:rowOff>
    </xdr:from>
    <xdr:to>
      <xdr:col>2</xdr:col>
      <xdr:colOff>319737</xdr:colOff>
      <xdr:row>291</xdr:row>
      <xdr:rowOff>291155</xdr:rowOff>
    </xdr:to>
    <xdr:sp macro="" textlink="">
      <xdr:nvSpPr>
        <xdr:cNvPr id="321" name="Oval 320">
          <a:extLst>
            <a:ext uri="{FF2B5EF4-FFF2-40B4-BE49-F238E27FC236}">
              <a16:creationId xmlns:a16="http://schemas.microsoft.com/office/drawing/2014/main" id="{9D164D7A-DEF9-0C41-9929-4B6DC716FEE6}"/>
            </a:ext>
          </a:extLst>
        </xdr:cNvPr>
        <xdr:cNvSpPr/>
      </xdr:nvSpPr>
      <xdr:spPr>
        <a:xfrm>
          <a:off x="808689" y="33526459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78004</xdr:colOff>
      <xdr:row>291</xdr:row>
      <xdr:rowOff>19336</xdr:rowOff>
    </xdr:from>
    <xdr:to>
      <xdr:col>3</xdr:col>
      <xdr:colOff>319737</xdr:colOff>
      <xdr:row>291</xdr:row>
      <xdr:rowOff>291155</xdr:rowOff>
    </xdr:to>
    <xdr:sp macro="" textlink="">
      <xdr:nvSpPr>
        <xdr:cNvPr id="322" name="Oval 321">
          <a:extLst>
            <a:ext uri="{FF2B5EF4-FFF2-40B4-BE49-F238E27FC236}">
              <a16:creationId xmlns:a16="http://schemas.microsoft.com/office/drawing/2014/main" id="{84D51D4B-93DF-DA4D-820B-A2B13DCF48B2}"/>
            </a:ext>
          </a:extLst>
        </xdr:cNvPr>
        <xdr:cNvSpPr/>
      </xdr:nvSpPr>
      <xdr:spPr>
        <a:xfrm>
          <a:off x="1174031" y="33526459"/>
          <a:ext cx="241733" cy="27181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198871</xdr:colOff>
      <xdr:row>282</xdr:row>
      <xdr:rowOff>291136</xdr:rowOff>
    </xdr:from>
    <xdr:to>
      <xdr:col>2</xdr:col>
      <xdr:colOff>198871</xdr:colOff>
      <xdr:row>291</xdr:row>
      <xdr:rowOff>19336</xdr:rowOff>
    </xdr:to>
    <xdr:cxnSp macro="">
      <xdr:nvCxnSpPr>
        <xdr:cNvPr id="323" name="Straight Connector 322">
          <a:extLst>
            <a:ext uri="{FF2B5EF4-FFF2-40B4-BE49-F238E27FC236}">
              <a16:creationId xmlns:a16="http://schemas.microsoft.com/office/drawing/2014/main" id="{76CCD93D-958F-A041-AACA-6D4196FEE752}"/>
            </a:ext>
          </a:extLst>
        </xdr:cNvPr>
        <xdr:cNvCxnSpPr>
          <a:stCxn id="305" idx="4"/>
          <a:endCxn id="321" idx="0"/>
        </xdr:cNvCxnSpPr>
      </xdr:nvCxnSpPr>
      <xdr:spPr>
        <a:xfrm>
          <a:off x="929556" y="30979903"/>
          <a:ext cx="0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324" name="Straight Connector 323">
          <a:extLst>
            <a:ext uri="{FF2B5EF4-FFF2-40B4-BE49-F238E27FC236}">
              <a16:creationId xmlns:a16="http://schemas.microsoft.com/office/drawing/2014/main" id="{201102B7-1919-7D48-81BB-B8D8259E32C8}"/>
            </a:ext>
          </a:extLst>
        </xdr:cNvPr>
        <xdr:cNvCxnSpPr>
          <a:stCxn id="306" idx="4"/>
          <a:endCxn id="321" idx="0"/>
        </xdr:cNvCxnSpPr>
      </xdr:nvCxnSpPr>
      <xdr:spPr>
        <a:xfrm flipH="1">
          <a:off x="929556" y="30979903"/>
          <a:ext cx="365342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4</xdr:col>
      <xdr:colOff>198871</xdr:colOff>
      <xdr:row>291</xdr:row>
      <xdr:rowOff>19336</xdr:rowOff>
    </xdr:to>
    <xdr:cxnSp macro="">
      <xdr:nvCxnSpPr>
        <xdr:cNvPr id="325" name="Straight Connector 324">
          <a:extLst>
            <a:ext uri="{FF2B5EF4-FFF2-40B4-BE49-F238E27FC236}">
              <a16:creationId xmlns:a16="http://schemas.microsoft.com/office/drawing/2014/main" id="{2E4C4E33-B26A-E643-AA6B-B6FF7F5B5BC2}"/>
            </a:ext>
          </a:extLst>
        </xdr:cNvPr>
        <xdr:cNvCxnSpPr>
          <a:stCxn id="307" idx="4"/>
          <a:endCxn id="321" idx="0"/>
        </xdr:cNvCxnSpPr>
      </xdr:nvCxnSpPr>
      <xdr:spPr>
        <a:xfrm flipH="1">
          <a:off x="929556" y="30979903"/>
          <a:ext cx="730685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5</xdr:col>
      <xdr:colOff>198871</xdr:colOff>
      <xdr:row>291</xdr:row>
      <xdr:rowOff>19336</xdr:rowOff>
    </xdr:to>
    <xdr:cxnSp macro="">
      <xdr:nvCxnSpPr>
        <xdr:cNvPr id="326" name="Straight Connector 325">
          <a:extLst>
            <a:ext uri="{FF2B5EF4-FFF2-40B4-BE49-F238E27FC236}">
              <a16:creationId xmlns:a16="http://schemas.microsoft.com/office/drawing/2014/main" id="{9EF8FB4F-BBC6-754A-B853-AB0FC41D4CFE}"/>
            </a:ext>
          </a:extLst>
        </xdr:cNvPr>
        <xdr:cNvCxnSpPr>
          <a:stCxn id="308" idx="4"/>
          <a:endCxn id="321" idx="0"/>
        </xdr:cNvCxnSpPr>
      </xdr:nvCxnSpPr>
      <xdr:spPr>
        <a:xfrm flipH="1">
          <a:off x="929556" y="30979903"/>
          <a:ext cx="1096027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4</xdr:col>
      <xdr:colOff>198871</xdr:colOff>
      <xdr:row>291</xdr:row>
      <xdr:rowOff>19336</xdr:rowOff>
    </xdr:to>
    <xdr:cxnSp macro="">
      <xdr:nvCxnSpPr>
        <xdr:cNvPr id="327" name="Straight Connector 326">
          <a:extLst>
            <a:ext uri="{FF2B5EF4-FFF2-40B4-BE49-F238E27FC236}">
              <a16:creationId xmlns:a16="http://schemas.microsoft.com/office/drawing/2014/main" id="{89D9A9D4-E2D7-D24E-8BCA-CFB1F2E3DF19}"/>
            </a:ext>
          </a:extLst>
        </xdr:cNvPr>
        <xdr:cNvCxnSpPr>
          <a:stCxn id="307" idx="4"/>
          <a:endCxn id="322" idx="0"/>
        </xdr:cNvCxnSpPr>
      </xdr:nvCxnSpPr>
      <xdr:spPr>
        <a:xfrm flipH="1">
          <a:off x="1294898" y="30979903"/>
          <a:ext cx="365343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7B990A1B-E78D-EB47-AE80-82DE376B9707}"/>
            </a:ext>
          </a:extLst>
        </xdr:cNvPr>
        <xdr:cNvCxnSpPr>
          <a:stCxn id="306" idx="4"/>
          <a:endCxn id="322" idx="0"/>
        </xdr:cNvCxnSpPr>
      </xdr:nvCxnSpPr>
      <xdr:spPr>
        <a:xfrm>
          <a:off x="1294898" y="30979903"/>
          <a:ext cx="0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198871</xdr:colOff>
      <xdr:row>282</xdr:row>
      <xdr:rowOff>291136</xdr:rowOff>
    </xdr:from>
    <xdr:to>
      <xdr:col>3</xdr:col>
      <xdr:colOff>198871</xdr:colOff>
      <xdr:row>291</xdr:row>
      <xdr:rowOff>19336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BBB4F15C-142A-2549-99EA-64D04DE96E70}"/>
            </a:ext>
          </a:extLst>
        </xdr:cNvPr>
        <xdr:cNvCxnSpPr>
          <a:stCxn id="305" idx="4"/>
          <a:endCxn id="322" idx="0"/>
        </xdr:cNvCxnSpPr>
      </xdr:nvCxnSpPr>
      <xdr:spPr>
        <a:xfrm>
          <a:off x="929556" y="30979903"/>
          <a:ext cx="365342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198871</xdr:colOff>
      <xdr:row>282</xdr:row>
      <xdr:rowOff>291136</xdr:rowOff>
    </xdr:from>
    <xdr:to>
      <xdr:col>5</xdr:col>
      <xdr:colOff>198871</xdr:colOff>
      <xdr:row>291</xdr:row>
      <xdr:rowOff>19336</xdr:rowOff>
    </xdr:to>
    <xdr:cxnSp macro="">
      <xdr:nvCxnSpPr>
        <xdr:cNvPr id="330" name="Straight Connector 329">
          <a:extLst>
            <a:ext uri="{FF2B5EF4-FFF2-40B4-BE49-F238E27FC236}">
              <a16:creationId xmlns:a16="http://schemas.microsoft.com/office/drawing/2014/main" id="{6AC6311E-FDB9-7648-8549-9946686CC2C8}"/>
            </a:ext>
          </a:extLst>
        </xdr:cNvPr>
        <xdr:cNvCxnSpPr>
          <a:stCxn id="308" idx="4"/>
          <a:endCxn id="322" idx="0"/>
        </xdr:cNvCxnSpPr>
      </xdr:nvCxnSpPr>
      <xdr:spPr>
        <a:xfrm flipH="1">
          <a:off x="1294898" y="30979903"/>
          <a:ext cx="730685" cy="2546556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227107</xdr:colOff>
      <xdr:row>268</xdr:row>
      <xdr:rowOff>242793</xdr:rowOff>
    </xdr:from>
    <xdr:to>
      <xdr:col>25</xdr:col>
      <xdr:colOff>261472</xdr:colOff>
      <xdr:row>295</xdr:row>
      <xdr:rowOff>245088</xdr:rowOff>
    </xdr:to>
    <xdr:sp macro="" textlink="">
      <xdr:nvSpPr>
        <xdr:cNvPr id="351" name="Rectangle 350">
          <a:extLst>
            <a:ext uri="{FF2B5EF4-FFF2-40B4-BE49-F238E27FC236}">
              <a16:creationId xmlns:a16="http://schemas.microsoft.com/office/drawing/2014/main" id="{18D95EFD-4D57-9840-A842-0BEBB22ACD2B}"/>
            </a:ext>
          </a:extLst>
        </xdr:cNvPr>
        <xdr:cNvSpPr/>
      </xdr:nvSpPr>
      <xdr:spPr>
        <a:xfrm>
          <a:off x="2878511" y="12719986"/>
          <a:ext cx="6852259" cy="84244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MLP</a:t>
          </a:r>
        </a:p>
      </xdr:txBody>
    </xdr:sp>
    <xdr:clientData/>
  </xdr:twoCellAnchor>
  <xdr:twoCellAnchor>
    <xdr:from>
      <xdr:col>15</xdr:col>
      <xdr:colOff>198871</xdr:colOff>
      <xdr:row>270</xdr:row>
      <xdr:rowOff>291136</xdr:rowOff>
    </xdr:from>
    <xdr:to>
      <xdr:col>15</xdr:col>
      <xdr:colOff>198871</xdr:colOff>
      <xdr:row>283</xdr:row>
      <xdr:rowOff>19317</xdr:rowOff>
    </xdr:to>
    <xdr:cxnSp macro="">
      <xdr:nvCxnSpPr>
        <xdr:cNvPr id="353" name="Straight Connector 352">
          <a:extLst>
            <a:ext uri="{FF2B5EF4-FFF2-40B4-BE49-F238E27FC236}">
              <a16:creationId xmlns:a16="http://schemas.microsoft.com/office/drawing/2014/main" id="{FE343DFD-0E1F-4D49-8704-C8863470C241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198871</xdr:colOff>
      <xdr:row>283</xdr:row>
      <xdr:rowOff>291136</xdr:rowOff>
    </xdr:from>
    <xdr:to>
      <xdr:col>15</xdr:col>
      <xdr:colOff>198871</xdr:colOff>
      <xdr:row>292</xdr:row>
      <xdr:rowOff>19317</xdr:rowOff>
    </xdr:to>
    <xdr:cxnSp macro="">
      <xdr:nvCxnSpPr>
        <xdr:cNvPr id="354" name="Straight Connector 353">
          <a:extLst>
            <a:ext uri="{FF2B5EF4-FFF2-40B4-BE49-F238E27FC236}">
              <a16:creationId xmlns:a16="http://schemas.microsoft.com/office/drawing/2014/main" id="{10B5525C-58CB-1742-8271-C0F71C14D097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112891</xdr:colOff>
      <xdr:row>283</xdr:row>
      <xdr:rowOff>42333</xdr:rowOff>
    </xdr:from>
    <xdr:to>
      <xdr:col>15</xdr:col>
      <xdr:colOff>239891</xdr:colOff>
      <xdr:row>283</xdr:row>
      <xdr:rowOff>282222</xdr:rowOff>
    </xdr:to>
    <xdr:sp macro="" textlink="">
      <xdr:nvSpPr>
        <xdr:cNvPr id="355" name="Rectangle 354">
          <a:extLst>
            <a:ext uri="{FF2B5EF4-FFF2-40B4-BE49-F238E27FC236}">
              <a16:creationId xmlns:a16="http://schemas.microsoft.com/office/drawing/2014/main" id="{FB09BAD7-A4E1-7E4A-8635-F8F51DC99172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112891</xdr:colOff>
      <xdr:row>270</xdr:row>
      <xdr:rowOff>42333</xdr:rowOff>
    </xdr:from>
    <xdr:to>
      <xdr:col>15</xdr:col>
      <xdr:colOff>239891</xdr:colOff>
      <xdr:row>270</xdr:row>
      <xdr:rowOff>282222</xdr:rowOff>
    </xdr:to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ECCFA4E-E281-9C42-9CBE-421F8B674DB8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15</xdr:col>
      <xdr:colOff>112891</xdr:colOff>
      <xdr:row>292</xdr:row>
      <xdr:rowOff>42333</xdr:rowOff>
    </xdr:from>
    <xdr:to>
      <xdr:col>15</xdr:col>
      <xdr:colOff>239891</xdr:colOff>
      <xdr:row>292</xdr:row>
      <xdr:rowOff>282222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3024D5C1-5E11-E042-8C27-459E46DD54C9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198871</xdr:colOff>
      <xdr:row>270</xdr:row>
      <xdr:rowOff>291136</xdr:rowOff>
    </xdr:from>
    <xdr:to>
      <xdr:col>18</xdr:col>
      <xdr:colOff>198871</xdr:colOff>
      <xdr:row>283</xdr:row>
      <xdr:rowOff>19317</xdr:rowOff>
    </xdr:to>
    <xdr:cxnSp macro="">
      <xdr:nvCxnSpPr>
        <xdr:cNvPr id="358" name="Straight Connector 357">
          <a:extLst>
            <a:ext uri="{FF2B5EF4-FFF2-40B4-BE49-F238E27FC236}">
              <a16:creationId xmlns:a16="http://schemas.microsoft.com/office/drawing/2014/main" id="{CD8FC681-5538-824F-81B0-8B1CCC870312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198871</xdr:colOff>
      <xdr:row>283</xdr:row>
      <xdr:rowOff>291136</xdr:rowOff>
    </xdr:from>
    <xdr:to>
      <xdr:col>18</xdr:col>
      <xdr:colOff>198871</xdr:colOff>
      <xdr:row>292</xdr:row>
      <xdr:rowOff>19317</xdr:rowOff>
    </xdr:to>
    <xdr:cxnSp macro="">
      <xdr:nvCxnSpPr>
        <xdr:cNvPr id="359" name="Straight Connector 358">
          <a:extLst>
            <a:ext uri="{FF2B5EF4-FFF2-40B4-BE49-F238E27FC236}">
              <a16:creationId xmlns:a16="http://schemas.microsoft.com/office/drawing/2014/main" id="{80C4D5D9-9C27-EA4E-846E-4405DBE23094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112891</xdr:colOff>
      <xdr:row>283</xdr:row>
      <xdr:rowOff>42333</xdr:rowOff>
    </xdr:from>
    <xdr:to>
      <xdr:col>18</xdr:col>
      <xdr:colOff>239891</xdr:colOff>
      <xdr:row>283</xdr:row>
      <xdr:rowOff>282222</xdr:rowOff>
    </xdr:to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8840161F-D400-1349-A871-715D207037A6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112891</xdr:colOff>
      <xdr:row>270</xdr:row>
      <xdr:rowOff>42333</xdr:rowOff>
    </xdr:from>
    <xdr:to>
      <xdr:col>18</xdr:col>
      <xdr:colOff>239891</xdr:colOff>
      <xdr:row>270</xdr:row>
      <xdr:rowOff>282222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id="{270239A7-791F-EF40-9FC4-9EEFAFCB1FA2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18</xdr:col>
      <xdr:colOff>112891</xdr:colOff>
      <xdr:row>292</xdr:row>
      <xdr:rowOff>42333</xdr:rowOff>
    </xdr:from>
    <xdr:to>
      <xdr:col>18</xdr:col>
      <xdr:colOff>239891</xdr:colOff>
      <xdr:row>292</xdr:row>
      <xdr:rowOff>282222</xdr:rowOff>
    </xdr:to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FC1FB6AC-55A3-0744-9C02-D770705D46A1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198871</xdr:colOff>
      <xdr:row>270</xdr:row>
      <xdr:rowOff>291136</xdr:rowOff>
    </xdr:from>
    <xdr:to>
      <xdr:col>21</xdr:col>
      <xdr:colOff>198871</xdr:colOff>
      <xdr:row>283</xdr:row>
      <xdr:rowOff>19317</xdr:rowOff>
    </xdr:to>
    <xdr:cxnSp macro="">
      <xdr:nvCxnSpPr>
        <xdr:cNvPr id="363" name="Straight Connector 362">
          <a:extLst>
            <a:ext uri="{FF2B5EF4-FFF2-40B4-BE49-F238E27FC236}">
              <a16:creationId xmlns:a16="http://schemas.microsoft.com/office/drawing/2014/main" id="{B3708E42-2254-DB42-9792-164C2858A593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198871</xdr:colOff>
      <xdr:row>283</xdr:row>
      <xdr:rowOff>291136</xdr:rowOff>
    </xdr:from>
    <xdr:to>
      <xdr:col>21</xdr:col>
      <xdr:colOff>198871</xdr:colOff>
      <xdr:row>292</xdr:row>
      <xdr:rowOff>19317</xdr:rowOff>
    </xdr:to>
    <xdr:cxnSp macro="">
      <xdr:nvCxnSpPr>
        <xdr:cNvPr id="364" name="Straight Connector 363">
          <a:extLst>
            <a:ext uri="{FF2B5EF4-FFF2-40B4-BE49-F238E27FC236}">
              <a16:creationId xmlns:a16="http://schemas.microsoft.com/office/drawing/2014/main" id="{F986304B-1C38-434D-B807-4678C3F4DA15}"/>
            </a:ext>
          </a:extLst>
        </xdr:cNvPr>
        <xdr:cNvCxnSpPr>
          <a:cxnSpLocks/>
        </xdr:cNvCxnSpPr>
      </xdr:nvCxnSpPr>
      <xdr:spPr>
        <a:xfrm>
          <a:off x="7866496" y="16880511"/>
          <a:ext cx="0" cy="2442806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112891</xdr:colOff>
      <xdr:row>283</xdr:row>
      <xdr:rowOff>42333</xdr:rowOff>
    </xdr:from>
    <xdr:to>
      <xdr:col>21</xdr:col>
      <xdr:colOff>239891</xdr:colOff>
      <xdr:row>283</xdr:row>
      <xdr:rowOff>282222</xdr:rowOff>
    </xdr:to>
    <xdr:sp macro="" textlink="">
      <xdr:nvSpPr>
        <xdr:cNvPr id="365" name="Rectangle 364">
          <a:extLst>
            <a:ext uri="{FF2B5EF4-FFF2-40B4-BE49-F238E27FC236}">
              <a16:creationId xmlns:a16="http://schemas.microsoft.com/office/drawing/2014/main" id="{87B3510D-C214-DB46-A25C-764E9CBEF3C6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112891</xdr:colOff>
      <xdr:row>270</xdr:row>
      <xdr:rowOff>42333</xdr:rowOff>
    </xdr:from>
    <xdr:to>
      <xdr:col>21</xdr:col>
      <xdr:colOff>239891</xdr:colOff>
      <xdr:row>270</xdr:row>
      <xdr:rowOff>282222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AFA0163-93EE-7E46-9D6C-57D44E684092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21</xdr:col>
      <xdr:colOff>112891</xdr:colOff>
      <xdr:row>292</xdr:row>
      <xdr:rowOff>42333</xdr:rowOff>
    </xdr:from>
    <xdr:to>
      <xdr:col>21</xdr:col>
      <xdr:colOff>239891</xdr:colOff>
      <xdr:row>292</xdr:row>
      <xdr:rowOff>282222</xdr:rowOff>
    </xdr:to>
    <xdr:sp macro="" textlink="">
      <xdr:nvSpPr>
        <xdr:cNvPr id="367" name="Rectangle 366">
          <a:extLst>
            <a:ext uri="{FF2B5EF4-FFF2-40B4-BE49-F238E27FC236}">
              <a16:creationId xmlns:a16="http://schemas.microsoft.com/office/drawing/2014/main" id="{4F9D80EE-25DE-3545-AB84-84AC8F31DB49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270</xdr:row>
      <xdr:rowOff>291136</xdr:rowOff>
    </xdr:from>
    <xdr:to>
      <xdr:col>24</xdr:col>
      <xdr:colOff>198871</xdr:colOff>
      <xdr:row>283</xdr:row>
      <xdr:rowOff>19317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953C7D1D-2A03-E64C-9C5D-44DE12A81342}"/>
            </a:ext>
          </a:extLst>
        </xdr:cNvPr>
        <xdr:cNvCxnSpPr>
          <a:cxnSpLocks/>
        </xdr:cNvCxnSpPr>
      </xdr:nvCxnSpPr>
      <xdr:spPr>
        <a:xfrm>
          <a:off x="11159145" y="13756615"/>
          <a:ext cx="0" cy="379914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198871</xdr:colOff>
      <xdr:row>283</xdr:row>
      <xdr:rowOff>291136</xdr:rowOff>
    </xdr:from>
    <xdr:to>
      <xdr:col>24</xdr:col>
      <xdr:colOff>198871</xdr:colOff>
      <xdr:row>292</xdr:row>
      <xdr:rowOff>19317</xdr:rowOff>
    </xdr:to>
    <xdr:cxnSp macro="">
      <xdr:nvCxnSpPr>
        <xdr:cNvPr id="369" name="Straight Connector 368">
          <a:extLst>
            <a:ext uri="{FF2B5EF4-FFF2-40B4-BE49-F238E27FC236}">
              <a16:creationId xmlns:a16="http://schemas.microsoft.com/office/drawing/2014/main" id="{AAF2EEFC-0D88-B043-BBAE-0E4BBEA4EF82}"/>
            </a:ext>
          </a:extLst>
        </xdr:cNvPr>
        <xdr:cNvCxnSpPr>
          <a:cxnSpLocks/>
        </xdr:cNvCxnSpPr>
      </xdr:nvCxnSpPr>
      <xdr:spPr>
        <a:xfrm>
          <a:off x="11159145" y="17827574"/>
          <a:ext cx="0" cy="2546538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112891</xdr:colOff>
      <xdr:row>283</xdr:row>
      <xdr:rowOff>42333</xdr:rowOff>
    </xdr:from>
    <xdr:to>
      <xdr:col>24</xdr:col>
      <xdr:colOff>239891</xdr:colOff>
      <xdr:row>283</xdr:row>
      <xdr:rowOff>282222</xdr:rowOff>
    </xdr:to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272F565D-EC96-2840-870F-3F848F77CFFE}"/>
            </a:ext>
          </a:extLst>
        </xdr:cNvPr>
        <xdr:cNvSpPr/>
      </xdr:nvSpPr>
      <xdr:spPr>
        <a:xfrm>
          <a:off x="11073165" y="1757877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112891</xdr:colOff>
      <xdr:row>270</xdr:row>
      <xdr:rowOff>42333</xdr:rowOff>
    </xdr:from>
    <xdr:to>
      <xdr:col>24</xdr:col>
      <xdr:colOff>239891</xdr:colOff>
      <xdr:row>270</xdr:row>
      <xdr:rowOff>282222</xdr:rowOff>
    </xdr:to>
    <xdr:sp macro="" textlink="">
      <xdr:nvSpPr>
        <xdr:cNvPr id="371" name="Rectangle 370">
          <a:extLst>
            <a:ext uri="{FF2B5EF4-FFF2-40B4-BE49-F238E27FC236}">
              <a16:creationId xmlns:a16="http://schemas.microsoft.com/office/drawing/2014/main" id="{6339D62C-1A3F-674D-8A00-17870FDD95CB}"/>
            </a:ext>
          </a:extLst>
        </xdr:cNvPr>
        <xdr:cNvSpPr/>
      </xdr:nvSpPr>
      <xdr:spPr>
        <a:xfrm>
          <a:off x="11073165" y="1350781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24</xdr:col>
      <xdr:colOff>112891</xdr:colOff>
      <xdr:row>292</xdr:row>
      <xdr:rowOff>42333</xdr:rowOff>
    </xdr:from>
    <xdr:to>
      <xdr:col>24</xdr:col>
      <xdr:colOff>239891</xdr:colOff>
      <xdr:row>292</xdr:row>
      <xdr:rowOff>282222</xdr:rowOff>
    </xdr:to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DD46F9CF-EE49-9B45-B78F-FE690A557C34}"/>
            </a:ext>
          </a:extLst>
        </xdr:cNvPr>
        <xdr:cNvSpPr/>
      </xdr:nvSpPr>
      <xdr:spPr>
        <a:xfrm>
          <a:off x="11073165" y="20397128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176391</xdr:colOff>
      <xdr:row>270</xdr:row>
      <xdr:rowOff>291136</xdr:rowOff>
    </xdr:from>
    <xdr:to>
      <xdr:col>37</xdr:col>
      <xdr:colOff>198871</xdr:colOff>
      <xdr:row>285</xdr:row>
      <xdr:rowOff>42333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E5D1A8BA-2F2B-BE4E-896F-449AD29848DE}"/>
            </a:ext>
          </a:extLst>
        </xdr:cNvPr>
        <xdr:cNvCxnSpPr>
          <a:cxnSpLocks/>
          <a:endCxn id="375" idx="0"/>
        </xdr:cNvCxnSpPr>
      </xdr:nvCxnSpPr>
      <xdr:spPr>
        <a:xfrm flipH="1">
          <a:off x="13694062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198871</xdr:colOff>
      <xdr:row>285</xdr:row>
      <xdr:rowOff>291136</xdr:rowOff>
    </xdr:from>
    <xdr:to>
      <xdr:col>37</xdr:col>
      <xdr:colOff>198871</xdr:colOff>
      <xdr:row>294</xdr:row>
      <xdr:rowOff>19317</xdr:rowOff>
    </xdr:to>
    <xdr:cxnSp macro="">
      <xdr:nvCxnSpPr>
        <xdr:cNvPr id="374" name="Straight Connector 373">
          <a:extLst>
            <a:ext uri="{FF2B5EF4-FFF2-40B4-BE49-F238E27FC236}">
              <a16:creationId xmlns:a16="http://schemas.microsoft.com/office/drawing/2014/main" id="{05500F2E-7BF8-A541-B80F-EA747FC2D7C1}"/>
            </a:ext>
          </a:extLst>
        </xdr:cNvPr>
        <xdr:cNvCxnSpPr>
          <a:cxnSpLocks/>
        </xdr:cNvCxnSpPr>
      </xdr:nvCxnSpPr>
      <xdr:spPr>
        <a:xfrm>
          <a:off x="5679008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112891</xdr:colOff>
      <xdr:row>285</xdr:row>
      <xdr:rowOff>42333</xdr:rowOff>
    </xdr:from>
    <xdr:to>
      <xdr:col>37</xdr:col>
      <xdr:colOff>239891</xdr:colOff>
      <xdr:row>285</xdr:row>
      <xdr:rowOff>282222</xdr:rowOff>
    </xdr:to>
    <xdr:sp macro="" textlink="">
      <xdr:nvSpPr>
        <xdr:cNvPr id="375" name="Rectangle 374">
          <a:extLst>
            <a:ext uri="{FF2B5EF4-FFF2-40B4-BE49-F238E27FC236}">
              <a16:creationId xmlns:a16="http://schemas.microsoft.com/office/drawing/2014/main" id="{0541B90A-C347-064F-9587-FE64039DC84D}"/>
            </a:ext>
          </a:extLst>
        </xdr:cNvPr>
        <xdr:cNvSpPr/>
      </xdr:nvSpPr>
      <xdr:spPr>
        <a:xfrm>
          <a:off x="5593028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112891</xdr:colOff>
      <xdr:row>270</xdr:row>
      <xdr:rowOff>42333</xdr:rowOff>
    </xdr:from>
    <xdr:to>
      <xdr:col>37</xdr:col>
      <xdr:colOff>239891</xdr:colOff>
      <xdr:row>270</xdr:row>
      <xdr:rowOff>282222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97C754D-8AF8-B64A-A9C7-0A5489E1818B}"/>
            </a:ext>
          </a:extLst>
        </xdr:cNvPr>
        <xdr:cNvSpPr/>
      </xdr:nvSpPr>
      <xdr:spPr>
        <a:xfrm>
          <a:off x="5593028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37</xdr:col>
      <xdr:colOff>112891</xdr:colOff>
      <xdr:row>294</xdr:row>
      <xdr:rowOff>42333</xdr:rowOff>
    </xdr:from>
    <xdr:to>
      <xdr:col>37</xdr:col>
      <xdr:colOff>239891</xdr:colOff>
      <xdr:row>294</xdr:row>
      <xdr:rowOff>282222</xdr:rowOff>
    </xdr:to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F3998FB2-615F-BA4C-8632-DE507CFBC95D}"/>
            </a:ext>
          </a:extLst>
        </xdr:cNvPr>
        <xdr:cNvSpPr/>
      </xdr:nvSpPr>
      <xdr:spPr>
        <a:xfrm>
          <a:off x="5593028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176391</xdr:colOff>
      <xdr:row>270</xdr:row>
      <xdr:rowOff>291136</xdr:rowOff>
    </xdr:from>
    <xdr:to>
      <xdr:col>40</xdr:col>
      <xdr:colOff>198871</xdr:colOff>
      <xdr:row>285</xdr:row>
      <xdr:rowOff>42333</xdr:rowOff>
    </xdr:to>
    <xdr:cxnSp macro="">
      <xdr:nvCxnSpPr>
        <xdr:cNvPr id="378" name="Straight Connector 377">
          <a:extLst>
            <a:ext uri="{FF2B5EF4-FFF2-40B4-BE49-F238E27FC236}">
              <a16:creationId xmlns:a16="http://schemas.microsoft.com/office/drawing/2014/main" id="{D22B483E-2133-E543-9752-3FAF9A6F30A6}"/>
            </a:ext>
          </a:extLst>
        </xdr:cNvPr>
        <xdr:cNvCxnSpPr>
          <a:cxnSpLocks/>
          <a:endCxn id="380" idx="0"/>
        </xdr:cNvCxnSpPr>
      </xdr:nvCxnSpPr>
      <xdr:spPr>
        <a:xfrm flipH="1">
          <a:off x="14790090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198871</xdr:colOff>
      <xdr:row>285</xdr:row>
      <xdr:rowOff>291136</xdr:rowOff>
    </xdr:from>
    <xdr:to>
      <xdr:col>40</xdr:col>
      <xdr:colOff>198871</xdr:colOff>
      <xdr:row>294</xdr:row>
      <xdr:rowOff>19317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98D19FA4-DE48-6F49-AD0C-9952D21C261A}"/>
            </a:ext>
          </a:extLst>
        </xdr:cNvPr>
        <xdr:cNvCxnSpPr>
          <a:cxnSpLocks/>
        </xdr:cNvCxnSpPr>
      </xdr:nvCxnSpPr>
      <xdr:spPr>
        <a:xfrm>
          <a:off x="6775035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112891</xdr:colOff>
      <xdr:row>285</xdr:row>
      <xdr:rowOff>42333</xdr:rowOff>
    </xdr:from>
    <xdr:to>
      <xdr:col>40</xdr:col>
      <xdr:colOff>239891</xdr:colOff>
      <xdr:row>285</xdr:row>
      <xdr:rowOff>282222</xdr:rowOff>
    </xdr:to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DAD2157-1AD3-4A48-8AC2-89D2D3FE8C79}"/>
            </a:ext>
          </a:extLst>
        </xdr:cNvPr>
        <xdr:cNvSpPr/>
      </xdr:nvSpPr>
      <xdr:spPr>
        <a:xfrm>
          <a:off x="6689055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112891</xdr:colOff>
      <xdr:row>270</xdr:row>
      <xdr:rowOff>42333</xdr:rowOff>
    </xdr:from>
    <xdr:to>
      <xdr:col>40</xdr:col>
      <xdr:colOff>239891</xdr:colOff>
      <xdr:row>270</xdr:row>
      <xdr:rowOff>282222</xdr:rowOff>
    </xdr:to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0F8C6078-2E16-1844-925A-524D7C86A6E0}"/>
            </a:ext>
          </a:extLst>
        </xdr:cNvPr>
        <xdr:cNvSpPr/>
      </xdr:nvSpPr>
      <xdr:spPr>
        <a:xfrm>
          <a:off x="6689055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40</xdr:col>
      <xdr:colOff>112891</xdr:colOff>
      <xdr:row>294</xdr:row>
      <xdr:rowOff>42333</xdr:rowOff>
    </xdr:from>
    <xdr:to>
      <xdr:col>40</xdr:col>
      <xdr:colOff>239891</xdr:colOff>
      <xdr:row>294</xdr:row>
      <xdr:rowOff>282222</xdr:rowOff>
    </xdr:to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E3565CB-A03B-9D4A-991F-D268A22E27C7}"/>
            </a:ext>
          </a:extLst>
        </xdr:cNvPr>
        <xdr:cNvSpPr/>
      </xdr:nvSpPr>
      <xdr:spPr>
        <a:xfrm>
          <a:off x="6689055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176391</xdr:colOff>
      <xdr:row>270</xdr:row>
      <xdr:rowOff>291136</xdr:rowOff>
    </xdr:from>
    <xdr:to>
      <xdr:col>43</xdr:col>
      <xdr:colOff>198871</xdr:colOff>
      <xdr:row>285</xdr:row>
      <xdr:rowOff>42333</xdr:rowOff>
    </xdr:to>
    <xdr:cxnSp macro="">
      <xdr:nvCxnSpPr>
        <xdr:cNvPr id="383" name="Straight Connector 382">
          <a:extLst>
            <a:ext uri="{FF2B5EF4-FFF2-40B4-BE49-F238E27FC236}">
              <a16:creationId xmlns:a16="http://schemas.microsoft.com/office/drawing/2014/main" id="{4B2C1F46-A3B7-724E-9CA2-3C7F33E4D92C}"/>
            </a:ext>
          </a:extLst>
        </xdr:cNvPr>
        <xdr:cNvCxnSpPr>
          <a:cxnSpLocks/>
          <a:endCxn id="385" idx="0"/>
        </xdr:cNvCxnSpPr>
      </xdr:nvCxnSpPr>
      <xdr:spPr>
        <a:xfrm flipH="1">
          <a:off x="15886117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198871</xdr:colOff>
      <xdr:row>285</xdr:row>
      <xdr:rowOff>291136</xdr:rowOff>
    </xdr:from>
    <xdr:to>
      <xdr:col>43</xdr:col>
      <xdr:colOff>198871</xdr:colOff>
      <xdr:row>294</xdr:row>
      <xdr:rowOff>19317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DF48AC4D-9581-8248-8822-E393F5A42843}"/>
            </a:ext>
          </a:extLst>
        </xdr:cNvPr>
        <xdr:cNvCxnSpPr>
          <a:cxnSpLocks/>
        </xdr:cNvCxnSpPr>
      </xdr:nvCxnSpPr>
      <xdr:spPr>
        <a:xfrm>
          <a:off x="7871063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112891</xdr:colOff>
      <xdr:row>285</xdr:row>
      <xdr:rowOff>42333</xdr:rowOff>
    </xdr:from>
    <xdr:to>
      <xdr:col>43</xdr:col>
      <xdr:colOff>239891</xdr:colOff>
      <xdr:row>285</xdr:row>
      <xdr:rowOff>282222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6D70B4CB-CED3-1141-B390-D789FCA002E5}"/>
            </a:ext>
          </a:extLst>
        </xdr:cNvPr>
        <xdr:cNvSpPr/>
      </xdr:nvSpPr>
      <xdr:spPr>
        <a:xfrm>
          <a:off x="7785083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112891</xdr:colOff>
      <xdr:row>270</xdr:row>
      <xdr:rowOff>42333</xdr:rowOff>
    </xdr:from>
    <xdr:to>
      <xdr:col>43</xdr:col>
      <xdr:colOff>239891</xdr:colOff>
      <xdr:row>270</xdr:row>
      <xdr:rowOff>282222</xdr:rowOff>
    </xdr:to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CA71ADCB-015F-464D-82EF-7313C94141C8}"/>
            </a:ext>
          </a:extLst>
        </xdr:cNvPr>
        <xdr:cNvSpPr/>
      </xdr:nvSpPr>
      <xdr:spPr>
        <a:xfrm>
          <a:off x="7785083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43</xdr:col>
      <xdr:colOff>112891</xdr:colOff>
      <xdr:row>294</xdr:row>
      <xdr:rowOff>42333</xdr:rowOff>
    </xdr:from>
    <xdr:to>
      <xdr:col>43</xdr:col>
      <xdr:colOff>239891</xdr:colOff>
      <xdr:row>294</xdr:row>
      <xdr:rowOff>282222</xdr:rowOff>
    </xdr:to>
    <xdr:sp macro="" textlink="">
      <xdr:nvSpPr>
        <xdr:cNvPr id="387" name="Rectangle 386">
          <a:extLst>
            <a:ext uri="{FF2B5EF4-FFF2-40B4-BE49-F238E27FC236}">
              <a16:creationId xmlns:a16="http://schemas.microsoft.com/office/drawing/2014/main" id="{011ADB0B-C6FB-7C45-B615-63D4F0F4F09A}"/>
            </a:ext>
          </a:extLst>
        </xdr:cNvPr>
        <xdr:cNvSpPr/>
      </xdr:nvSpPr>
      <xdr:spPr>
        <a:xfrm>
          <a:off x="7785083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176391</xdr:colOff>
      <xdr:row>270</xdr:row>
      <xdr:rowOff>291136</xdr:rowOff>
    </xdr:from>
    <xdr:to>
      <xdr:col>46</xdr:col>
      <xdr:colOff>198871</xdr:colOff>
      <xdr:row>285</xdr:row>
      <xdr:rowOff>42333</xdr:rowOff>
    </xdr:to>
    <xdr:cxnSp macro="">
      <xdr:nvCxnSpPr>
        <xdr:cNvPr id="388" name="Straight Connector 387">
          <a:extLst>
            <a:ext uri="{FF2B5EF4-FFF2-40B4-BE49-F238E27FC236}">
              <a16:creationId xmlns:a16="http://schemas.microsoft.com/office/drawing/2014/main" id="{88D0EEC2-2E18-804A-8DFE-7A6173E85A12}"/>
            </a:ext>
          </a:extLst>
        </xdr:cNvPr>
        <xdr:cNvCxnSpPr>
          <a:cxnSpLocks/>
          <a:endCxn id="390" idx="0"/>
        </xdr:cNvCxnSpPr>
      </xdr:nvCxnSpPr>
      <xdr:spPr>
        <a:xfrm flipH="1">
          <a:off x="16982144" y="13443465"/>
          <a:ext cx="22480" cy="444845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198871</xdr:colOff>
      <xdr:row>285</xdr:row>
      <xdr:rowOff>291136</xdr:rowOff>
    </xdr:from>
    <xdr:to>
      <xdr:col>46</xdr:col>
      <xdr:colOff>198871</xdr:colOff>
      <xdr:row>294</xdr:row>
      <xdr:rowOff>19317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6313196B-1A21-B04E-BF98-C48662FAA357}"/>
            </a:ext>
          </a:extLst>
        </xdr:cNvPr>
        <xdr:cNvCxnSpPr>
          <a:cxnSpLocks/>
        </xdr:cNvCxnSpPr>
      </xdr:nvCxnSpPr>
      <xdr:spPr>
        <a:xfrm>
          <a:off x="8967090" y="17514424"/>
          <a:ext cx="0" cy="2546537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112891</xdr:colOff>
      <xdr:row>285</xdr:row>
      <xdr:rowOff>42333</xdr:rowOff>
    </xdr:from>
    <xdr:to>
      <xdr:col>46</xdr:col>
      <xdr:colOff>239891</xdr:colOff>
      <xdr:row>285</xdr:row>
      <xdr:rowOff>282222</xdr:rowOff>
    </xdr:to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C74D216E-2B22-3D43-B9CA-5BCCCE6567F5}"/>
            </a:ext>
          </a:extLst>
        </xdr:cNvPr>
        <xdr:cNvSpPr/>
      </xdr:nvSpPr>
      <xdr:spPr>
        <a:xfrm>
          <a:off x="8881110" y="17265621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112891</xdr:colOff>
      <xdr:row>270</xdr:row>
      <xdr:rowOff>42333</xdr:rowOff>
    </xdr:from>
    <xdr:to>
      <xdr:col>46</xdr:col>
      <xdr:colOff>239891</xdr:colOff>
      <xdr:row>270</xdr:row>
      <xdr:rowOff>282222</xdr:rowOff>
    </xdr:to>
    <xdr:sp macro="" textlink="">
      <xdr:nvSpPr>
        <xdr:cNvPr id="391" name="Rectangle 390">
          <a:extLst>
            <a:ext uri="{FF2B5EF4-FFF2-40B4-BE49-F238E27FC236}">
              <a16:creationId xmlns:a16="http://schemas.microsoft.com/office/drawing/2014/main" id="{87638E9C-C489-4644-9663-2A936CFD4A5F}"/>
            </a:ext>
          </a:extLst>
        </xdr:cNvPr>
        <xdr:cNvSpPr/>
      </xdr:nvSpPr>
      <xdr:spPr>
        <a:xfrm>
          <a:off x="8881110" y="13194662"/>
          <a:ext cx="127000" cy="2398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FF00"/>
            </a:solidFill>
          </a:endParaRPr>
        </a:p>
      </xdr:txBody>
    </xdr:sp>
    <xdr:clientData/>
  </xdr:twoCellAnchor>
  <xdr:twoCellAnchor>
    <xdr:from>
      <xdr:col>46</xdr:col>
      <xdr:colOff>112891</xdr:colOff>
      <xdr:row>294</xdr:row>
      <xdr:rowOff>42333</xdr:rowOff>
    </xdr:from>
    <xdr:to>
      <xdr:col>46</xdr:col>
      <xdr:colOff>239891</xdr:colOff>
      <xdr:row>294</xdr:row>
      <xdr:rowOff>282222</xdr:rowOff>
    </xdr:to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B246863A-EB7E-684E-8F8C-444F4D9F8E6A}"/>
            </a:ext>
          </a:extLst>
        </xdr:cNvPr>
        <xdr:cNvSpPr/>
      </xdr:nvSpPr>
      <xdr:spPr>
        <a:xfrm>
          <a:off x="8881110" y="20083977"/>
          <a:ext cx="127000" cy="23988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112891</xdr:colOff>
      <xdr:row>285</xdr:row>
      <xdr:rowOff>42333</xdr:rowOff>
    </xdr:from>
    <xdr:to>
      <xdr:col>34</xdr:col>
      <xdr:colOff>239891</xdr:colOff>
      <xdr:row>285</xdr:row>
      <xdr:rowOff>282222</xdr:rowOff>
    </xdr:to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2731A3F-5C18-5448-B5B9-54641CDA3386}"/>
            </a:ext>
          </a:extLst>
        </xdr:cNvPr>
        <xdr:cNvSpPr/>
      </xdr:nvSpPr>
      <xdr:spPr>
        <a:xfrm>
          <a:off x="13630562" y="17891922"/>
          <a:ext cx="127000" cy="239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239891</xdr:colOff>
      <xdr:row>285</xdr:row>
      <xdr:rowOff>162278</xdr:rowOff>
    </xdr:from>
    <xdr:to>
      <xdr:col>37</xdr:col>
      <xdr:colOff>112891</xdr:colOff>
      <xdr:row>285</xdr:row>
      <xdr:rowOff>162278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372035F1-0C75-F946-A139-1BF1F845C516}"/>
            </a:ext>
          </a:extLst>
        </xdr:cNvPr>
        <xdr:cNvCxnSpPr>
          <a:stCxn id="398" idx="3"/>
          <a:endCxn id="375" idx="1"/>
        </xdr:cNvCxnSpPr>
      </xdr:nvCxnSpPr>
      <xdr:spPr>
        <a:xfrm>
          <a:off x="12701233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239891</xdr:colOff>
      <xdr:row>285</xdr:row>
      <xdr:rowOff>162278</xdr:rowOff>
    </xdr:from>
    <xdr:to>
      <xdr:col>40</xdr:col>
      <xdr:colOff>112891</xdr:colOff>
      <xdr:row>285</xdr:row>
      <xdr:rowOff>162278</xdr:rowOff>
    </xdr:to>
    <xdr:cxnSp macro="">
      <xdr:nvCxnSpPr>
        <xdr:cNvPr id="404" name="Straight Connector 403">
          <a:extLst>
            <a:ext uri="{FF2B5EF4-FFF2-40B4-BE49-F238E27FC236}">
              <a16:creationId xmlns:a16="http://schemas.microsoft.com/office/drawing/2014/main" id="{5BE891DB-09A4-AB4D-A0E0-95CD222F154E}"/>
            </a:ext>
          </a:extLst>
        </xdr:cNvPr>
        <xdr:cNvCxnSpPr>
          <a:stCxn id="375" idx="3"/>
          <a:endCxn id="380" idx="1"/>
        </xdr:cNvCxnSpPr>
      </xdr:nvCxnSpPr>
      <xdr:spPr>
        <a:xfrm>
          <a:off x="13800763" y="17652479"/>
          <a:ext cx="972531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239891</xdr:colOff>
      <xdr:row>285</xdr:row>
      <xdr:rowOff>162278</xdr:rowOff>
    </xdr:from>
    <xdr:to>
      <xdr:col>43</xdr:col>
      <xdr:colOff>112891</xdr:colOff>
      <xdr:row>285</xdr:row>
      <xdr:rowOff>162278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A402BD2C-2081-8F45-BF4A-CD22AF25C05C}"/>
            </a:ext>
          </a:extLst>
        </xdr:cNvPr>
        <xdr:cNvCxnSpPr>
          <a:stCxn id="380" idx="3"/>
          <a:endCxn id="385" idx="1"/>
        </xdr:cNvCxnSpPr>
      </xdr:nvCxnSpPr>
      <xdr:spPr>
        <a:xfrm>
          <a:off x="14900294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239891</xdr:colOff>
      <xdr:row>285</xdr:row>
      <xdr:rowOff>162278</xdr:rowOff>
    </xdr:from>
    <xdr:to>
      <xdr:col>46</xdr:col>
      <xdr:colOff>112891</xdr:colOff>
      <xdr:row>285</xdr:row>
      <xdr:rowOff>162278</xdr:rowOff>
    </xdr:to>
    <xdr:cxnSp macro="">
      <xdr:nvCxnSpPr>
        <xdr:cNvPr id="410" name="Straight Connector 409">
          <a:extLst>
            <a:ext uri="{FF2B5EF4-FFF2-40B4-BE49-F238E27FC236}">
              <a16:creationId xmlns:a16="http://schemas.microsoft.com/office/drawing/2014/main" id="{25C5C6F7-67ED-4A46-9FF2-82F591A660C8}"/>
            </a:ext>
          </a:extLst>
        </xdr:cNvPr>
        <xdr:cNvCxnSpPr>
          <a:stCxn id="385" idx="3"/>
          <a:endCxn id="390" idx="1"/>
        </xdr:cNvCxnSpPr>
      </xdr:nvCxnSpPr>
      <xdr:spPr>
        <a:xfrm>
          <a:off x="15999824" y="17652479"/>
          <a:ext cx="97253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289650</xdr:colOff>
      <xdr:row>268</xdr:row>
      <xdr:rowOff>222807</xdr:rowOff>
    </xdr:from>
    <xdr:to>
      <xdr:col>48</xdr:col>
      <xdr:colOff>56645</xdr:colOff>
      <xdr:row>295</xdr:row>
      <xdr:rowOff>222807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656889D1-1559-0B49-B8F9-B9815691AC1C}"/>
            </a:ext>
          </a:extLst>
        </xdr:cNvPr>
        <xdr:cNvSpPr/>
      </xdr:nvSpPr>
      <xdr:spPr>
        <a:xfrm>
          <a:off x="10137720" y="12700000"/>
          <a:ext cx="8099978" cy="842210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RNN</a:t>
          </a:r>
        </a:p>
      </xdr:txBody>
    </xdr:sp>
    <xdr:clientData/>
  </xdr:twoCellAnchor>
  <xdr:twoCellAnchor>
    <xdr:from>
      <xdr:col>16</xdr:col>
      <xdr:colOff>78004</xdr:colOff>
      <xdr:row>230</xdr:row>
      <xdr:rowOff>19317</xdr:rowOff>
    </xdr:from>
    <xdr:to>
      <xdr:col>16</xdr:col>
      <xdr:colOff>319737</xdr:colOff>
      <xdr:row>230</xdr:row>
      <xdr:rowOff>291136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859EA20-5246-8743-900C-CD3A686101AE}"/>
            </a:ext>
          </a:extLst>
        </xdr:cNvPr>
        <xdr:cNvSpPr/>
      </xdr:nvSpPr>
      <xdr:spPr>
        <a:xfrm>
          <a:off x="59708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78004</xdr:colOff>
      <xdr:row>242</xdr:row>
      <xdr:rowOff>19317</xdr:rowOff>
    </xdr:from>
    <xdr:to>
      <xdr:col>15</xdr:col>
      <xdr:colOff>319737</xdr:colOff>
      <xdr:row>242</xdr:row>
      <xdr:rowOff>291136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657E78B-1C26-DB4A-A4F1-87613D0E59CC}"/>
            </a:ext>
          </a:extLst>
        </xdr:cNvPr>
        <xdr:cNvSpPr/>
      </xdr:nvSpPr>
      <xdr:spPr>
        <a:xfrm>
          <a:off x="56025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198870</xdr:colOff>
      <xdr:row>230</xdr:row>
      <xdr:rowOff>155228</xdr:rowOff>
    </xdr:from>
    <xdr:to>
      <xdr:col>16</xdr:col>
      <xdr:colOff>78003</xdr:colOff>
      <xdr:row>242</xdr:row>
      <xdr:rowOff>19318</xdr:rowOff>
    </xdr:to>
    <xdr:cxnSp macro="">
      <xdr:nvCxnSpPr>
        <xdr:cNvPr id="33" name="Curved Connector 32">
          <a:extLst>
            <a:ext uri="{FF2B5EF4-FFF2-40B4-BE49-F238E27FC236}">
              <a16:creationId xmlns:a16="http://schemas.microsoft.com/office/drawing/2014/main" id="{365143D8-9F0E-DC49-8300-E164B46C412C}"/>
            </a:ext>
          </a:extLst>
        </xdr:cNvPr>
        <xdr:cNvCxnSpPr>
          <a:stCxn id="32" idx="0"/>
          <a:endCxn id="31" idx="2"/>
        </xdr:cNvCxnSpPr>
      </xdr:nvCxnSpPr>
      <xdr:spPr>
        <a:xfrm rot="5400000" flipH="1" flipV="1">
          <a:off x="40862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78004</xdr:colOff>
      <xdr:row>230</xdr:row>
      <xdr:rowOff>19317</xdr:rowOff>
    </xdr:from>
    <xdr:to>
      <xdr:col>19</xdr:col>
      <xdr:colOff>319737</xdr:colOff>
      <xdr:row>230</xdr:row>
      <xdr:rowOff>291136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A43445E-97D5-BC41-9E55-2A20708DF955}"/>
            </a:ext>
          </a:extLst>
        </xdr:cNvPr>
        <xdr:cNvSpPr/>
      </xdr:nvSpPr>
      <xdr:spPr>
        <a:xfrm>
          <a:off x="70757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242</xdr:row>
      <xdr:rowOff>19317</xdr:rowOff>
    </xdr:from>
    <xdr:to>
      <xdr:col>18</xdr:col>
      <xdr:colOff>319737</xdr:colOff>
      <xdr:row>242</xdr:row>
      <xdr:rowOff>291136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A555599-AD80-3343-B40D-5ACA6A074DFE}"/>
            </a:ext>
          </a:extLst>
        </xdr:cNvPr>
        <xdr:cNvSpPr/>
      </xdr:nvSpPr>
      <xdr:spPr>
        <a:xfrm>
          <a:off x="67074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198870</xdr:colOff>
      <xdr:row>230</xdr:row>
      <xdr:rowOff>155228</xdr:rowOff>
    </xdr:from>
    <xdr:to>
      <xdr:col>19</xdr:col>
      <xdr:colOff>78003</xdr:colOff>
      <xdr:row>242</xdr:row>
      <xdr:rowOff>19318</xdr:rowOff>
    </xdr:to>
    <xdr:cxnSp macro="">
      <xdr:nvCxnSpPr>
        <xdr:cNvPr id="36" name="Curved Connector 35">
          <a:extLst>
            <a:ext uri="{FF2B5EF4-FFF2-40B4-BE49-F238E27FC236}">
              <a16:creationId xmlns:a16="http://schemas.microsoft.com/office/drawing/2014/main" id="{E937BC6F-EBFF-964D-9EB6-BA336FA1A9EF}"/>
            </a:ext>
          </a:extLst>
        </xdr:cNvPr>
        <xdr:cNvCxnSpPr>
          <a:stCxn id="35" idx="0"/>
          <a:endCxn id="34" idx="2"/>
        </xdr:cNvCxnSpPr>
      </xdr:nvCxnSpPr>
      <xdr:spPr>
        <a:xfrm rot="5400000" flipH="1" flipV="1">
          <a:off x="51911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78004</xdr:colOff>
      <xdr:row>230</xdr:row>
      <xdr:rowOff>19317</xdr:rowOff>
    </xdr:from>
    <xdr:to>
      <xdr:col>22</xdr:col>
      <xdr:colOff>319737</xdr:colOff>
      <xdr:row>230</xdr:row>
      <xdr:rowOff>291136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D63823B-BF0E-9143-97A4-6154880C5CE2}"/>
            </a:ext>
          </a:extLst>
        </xdr:cNvPr>
        <xdr:cNvSpPr/>
      </xdr:nvSpPr>
      <xdr:spPr>
        <a:xfrm>
          <a:off x="81806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242</xdr:row>
      <xdr:rowOff>19317</xdr:rowOff>
    </xdr:from>
    <xdr:to>
      <xdr:col>21</xdr:col>
      <xdr:colOff>319737</xdr:colOff>
      <xdr:row>242</xdr:row>
      <xdr:rowOff>291136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20B041F-EB7B-C942-9480-5DDABE0A1027}"/>
            </a:ext>
          </a:extLst>
        </xdr:cNvPr>
        <xdr:cNvSpPr/>
      </xdr:nvSpPr>
      <xdr:spPr>
        <a:xfrm>
          <a:off x="78123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198870</xdr:colOff>
      <xdr:row>230</xdr:row>
      <xdr:rowOff>155228</xdr:rowOff>
    </xdr:from>
    <xdr:to>
      <xdr:col>22</xdr:col>
      <xdr:colOff>78003</xdr:colOff>
      <xdr:row>242</xdr:row>
      <xdr:rowOff>19318</xdr:rowOff>
    </xdr:to>
    <xdr:cxnSp macro="">
      <xdr:nvCxnSpPr>
        <xdr:cNvPr id="39" name="Curved Connector 38">
          <a:extLst>
            <a:ext uri="{FF2B5EF4-FFF2-40B4-BE49-F238E27FC236}">
              <a16:creationId xmlns:a16="http://schemas.microsoft.com/office/drawing/2014/main" id="{2C5F4F93-CEA7-7847-BAE7-9EBAAA6464EB}"/>
            </a:ext>
          </a:extLst>
        </xdr:cNvPr>
        <xdr:cNvCxnSpPr>
          <a:stCxn id="38" idx="0"/>
          <a:endCxn id="37" idx="2"/>
        </xdr:cNvCxnSpPr>
      </xdr:nvCxnSpPr>
      <xdr:spPr>
        <a:xfrm rot="5400000" flipH="1" flipV="1">
          <a:off x="62960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78004</xdr:colOff>
      <xdr:row>230</xdr:row>
      <xdr:rowOff>19317</xdr:rowOff>
    </xdr:from>
    <xdr:to>
      <xdr:col>16</xdr:col>
      <xdr:colOff>319737</xdr:colOff>
      <xdr:row>230</xdr:row>
      <xdr:rowOff>291136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F2D78C1-3E8C-F047-8F41-DF2CDD09CC48}"/>
            </a:ext>
          </a:extLst>
        </xdr:cNvPr>
        <xdr:cNvSpPr/>
      </xdr:nvSpPr>
      <xdr:spPr>
        <a:xfrm>
          <a:off x="59708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78004</xdr:colOff>
      <xdr:row>242</xdr:row>
      <xdr:rowOff>19317</xdr:rowOff>
    </xdr:from>
    <xdr:to>
      <xdr:col>15</xdr:col>
      <xdr:colOff>319737</xdr:colOff>
      <xdr:row>242</xdr:row>
      <xdr:rowOff>291136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55C9B85-F08B-8D45-8558-B34907D5E68D}"/>
            </a:ext>
          </a:extLst>
        </xdr:cNvPr>
        <xdr:cNvSpPr/>
      </xdr:nvSpPr>
      <xdr:spPr>
        <a:xfrm>
          <a:off x="56025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198870</xdr:colOff>
      <xdr:row>230</xdr:row>
      <xdr:rowOff>155228</xdr:rowOff>
    </xdr:from>
    <xdr:to>
      <xdr:col>16</xdr:col>
      <xdr:colOff>78003</xdr:colOff>
      <xdr:row>242</xdr:row>
      <xdr:rowOff>19318</xdr:rowOff>
    </xdr:to>
    <xdr:cxnSp macro="">
      <xdr:nvCxnSpPr>
        <xdr:cNvPr id="42" name="Curved Connector 41">
          <a:extLst>
            <a:ext uri="{FF2B5EF4-FFF2-40B4-BE49-F238E27FC236}">
              <a16:creationId xmlns:a16="http://schemas.microsoft.com/office/drawing/2014/main" id="{64077236-FC7C-B943-8F1E-1C8F7B6DA80E}"/>
            </a:ext>
          </a:extLst>
        </xdr:cNvPr>
        <xdr:cNvCxnSpPr>
          <a:stCxn id="41" idx="0"/>
          <a:endCxn id="40" idx="2"/>
        </xdr:cNvCxnSpPr>
      </xdr:nvCxnSpPr>
      <xdr:spPr>
        <a:xfrm rot="5400000" flipH="1" flipV="1">
          <a:off x="40862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78004</xdr:colOff>
      <xdr:row>230</xdr:row>
      <xdr:rowOff>19317</xdr:rowOff>
    </xdr:from>
    <xdr:to>
      <xdr:col>19</xdr:col>
      <xdr:colOff>319737</xdr:colOff>
      <xdr:row>230</xdr:row>
      <xdr:rowOff>291136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D13B110-0771-C440-ABBB-2D519F9D1FBF}"/>
            </a:ext>
          </a:extLst>
        </xdr:cNvPr>
        <xdr:cNvSpPr/>
      </xdr:nvSpPr>
      <xdr:spPr>
        <a:xfrm>
          <a:off x="70757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78004</xdr:colOff>
      <xdr:row>242</xdr:row>
      <xdr:rowOff>19317</xdr:rowOff>
    </xdr:from>
    <xdr:to>
      <xdr:col>18</xdr:col>
      <xdr:colOff>319737</xdr:colOff>
      <xdr:row>242</xdr:row>
      <xdr:rowOff>291136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B095D4D-16B6-7149-957B-1EA0A0B591D0}"/>
            </a:ext>
          </a:extLst>
        </xdr:cNvPr>
        <xdr:cNvSpPr/>
      </xdr:nvSpPr>
      <xdr:spPr>
        <a:xfrm>
          <a:off x="67074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198870</xdr:colOff>
      <xdr:row>230</xdr:row>
      <xdr:rowOff>155228</xdr:rowOff>
    </xdr:from>
    <xdr:to>
      <xdr:col>19</xdr:col>
      <xdr:colOff>78003</xdr:colOff>
      <xdr:row>242</xdr:row>
      <xdr:rowOff>19318</xdr:rowOff>
    </xdr:to>
    <xdr:cxnSp macro="">
      <xdr:nvCxnSpPr>
        <xdr:cNvPr id="45" name="Curved Connector 44">
          <a:extLst>
            <a:ext uri="{FF2B5EF4-FFF2-40B4-BE49-F238E27FC236}">
              <a16:creationId xmlns:a16="http://schemas.microsoft.com/office/drawing/2014/main" id="{FE9351BB-A258-244C-96C5-BF5034D41EB9}"/>
            </a:ext>
          </a:extLst>
        </xdr:cNvPr>
        <xdr:cNvCxnSpPr>
          <a:stCxn id="44" idx="0"/>
          <a:endCxn id="43" idx="2"/>
        </xdr:cNvCxnSpPr>
      </xdr:nvCxnSpPr>
      <xdr:spPr>
        <a:xfrm rot="5400000" flipH="1" flipV="1">
          <a:off x="51911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78004</xdr:colOff>
      <xdr:row>230</xdr:row>
      <xdr:rowOff>19317</xdr:rowOff>
    </xdr:from>
    <xdr:to>
      <xdr:col>22</xdr:col>
      <xdr:colOff>319737</xdr:colOff>
      <xdr:row>230</xdr:row>
      <xdr:rowOff>291136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B028B5C8-B91B-A444-88D3-6A7853221D3F}"/>
            </a:ext>
          </a:extLst>
        </xdr:cNvPr>
        <xdr:cNvSpPr/>
      </xdr:nvSpPr>
      <xdr:spPr>
        <a:xfrm>
          <a:off x="81806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78004</xdr:colOff>
      <xdr:row>242</xdr:row>
      <xdr:rowOff>19317</xdr:rowOff>
    </xdr:from>
    <xdr:to>
      <xdr:col>21</xdr:col>
      <xdr:colOff>319737</xdr:colOff>
      <xdr:row>242</xdr:row>
      <xdr:rowOff>291136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CC0D9D8B-9FFC-D740-80BC-E6C4B0C891BB}"/>
            </a:ext>
          </a:extLst>
        </xdr:cNvPr>
        <xdr:cNvSpPr/>
      </xdr:nvSpPr>
      <xdr:spPr>
        <a:xfrm>
          <a:off x="7812304" y="701233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198870</xdr:colOff>
      <xdr:row>230</xdr:row>
      <xdr:rowOff>155228</xdr:rowOff>
    </xdr:from>
    <xdr:to>
      <xdr:col>22</xdr:col>
      <xdr:colOff>78003</xdr:colOff>
      <xdr:row>242</xdr:row>
      <xdr:rowOff>19318</xdr:rowOff>
    </xdr:to>
    <xdr:cxnSp macro="">
      <xdr:nvCxnSpPr>
        <xdr:cNvPr id="48" name="Curved Connector 47">
          <a:extLst>
            <a:ext uri="{FF2B5EF4-FFF2-40B4-BE49-F238E27FC236}">
              <a16:creationId xmlns:a16="http://schemas.microsoft.com/office/drawing/2014/main" id="{0E550B88-16B3-824B-B6A4-E566583F6C1B}"/>
            </a:ext>
          </a:extLst>
        </xdr:cNvPr>
        <xdr:cNvCxnSpPr>
          <a:stCxn id="47" idx="0"/>
          <a:endCxn id="46" idx="2"/>
        </xdr:cNvCxnSpPr>
      </xdr:nvCxnSpPr>
      <xdr:spPr>
        <a:xfrm rot="5400000" flipH="1" flipV="1">
          <a:off x="6296042" y="68238756"/>
          <a:ext cx="35216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78004</xdr:colOff>
      <xdr:row>230</xdr:row>
      <xdr:rowOff>19317</xdr:rowOff>
    </xdr:from>
    <xdr:to>
      <xdr:col>34</xdr:col>
      <xdr:colOff>319737</xdr:colOff>
      <xdr:row>230</xdr:row>
      <xdr:rowOff>291136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A5AB9EE8-984D-E542-92A4-2A5ECCF6F158}"/>
            </a:ext>
          </a:extLst>
        </xdr:cNvPr>
        <xdr:cNvSpPr/>
      </xdr:nvSpPr>
      <xdr:spPr>
        <a:xfrm>
          <a:off x="126002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78004</xdr:colOff>
      <xdr:row>241</xdr:row>
      <xdr:rowOff>19317</xdr:rowOff>
    </xdr:from>
    <xdr:to>
      <xdr:col>33</xdr:col>
      <xdr:colOff>319737</xdr:colOff>
      <xdr:row>241</xdr:row>
      <xdr:rowOff>291136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C2F860DF-8DB4-324E-A6D6-FCA3AC39C91A}"/>
            </a:ext>
          </a:extLst>
        </xdr:cNvPr>
        <xdr:cNvSpPr/>
      </xdr:nvSpPr>
      <xdr:spPr>
        <a:xfrm>
          <a:off x="122319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78004</xdr:colOff>
      <xdr:row>230</xdr:row>
      <xdr:rowOff>19317</xdr:rowOff>
    </xdr:from>
    <xdr:to>
      <xdr:col>37</xdr:col>
      <xdr:colOff>319737</xdr:colOff>
      <xdr:row>230</xdr:row>
      <xdr:rowOff>291136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3629D29-E75C-BD40-B157-25208729B43F}"/>
            </a:ext>
          </a:extLst>
        </xdr:cNvPr>
        <xdr:cNvSpPr/>
      </xdr:nvSpPr>
      <xdr:spPr>
        <a:xfrm>
          <a:off x="137051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78004</xdr:colOff>
      <xdr:row>241</xdr:row>
      <xdr:rowOff>19317</xdr:rowOff>
    </xdr:from>
    <xdr:to>
      <xdr:col>36</xdr:col>
      <xdr:colOff>319737</xdr:colOff>
      <xdr:row>241</xdr:row>
      <xdr:rowOff>291136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53CCB071-692E-4342-AE19-75F2B16DEAB6}"/>
            </a:ext>
          </a:extLst>
        </xdr:cNvPr>
        <xdr:cNvSpPr/>
      </xdr:nvSpPr>
      <xdr:spPr>
        <a:xfrm>
          <a:off x="133368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198871</xdr:colOff>
      <xdr:row>230</xdr:row>
      <xdr:rowOff>155227</xdr:rowOff>
    </xdr:from>
    <xdr:to>
      <xdr:col>37</xdr:col>
      <xdr:colOff>78004</xdr:colOff>
      <xdr:row>241</xdr:row>
      <xdr:rowOff>19317</xdr:rowOff>
    </xdr:to>
    <xdr:cxnSp macro="">
      <xdr:nvCxnSpPr>
        <xdr:cNvPr id="53" name="Curved Connector 52">
          <a:extLst>
            <a:ext uri="{FF2B5EF4-FFF2-40B4-BE49-F238E27FC236}">
              <a16:creationId xmlns:a16="http://schemas.microsoft.com/office/drawing/2014/main" id="{8999A59F-ED37-6341-84AC-85419E5F985E}"/>
            </a:ext>
          </a:extLst>
        </xdr:cNvPr>
        <xdr:cNvCxnSpPr>
          <a:stCxn id="61" idx="0"/>
          <a:endCxn id="51" idx="2"/>
        </xdr:cNvCxnSpPr>
      </xdr:nvCxnSpPr>
      <xdr:spPr>
        <a:xfrm rot="5400000" flipH="1" flipV="1">
          <a:off x="11972943" y="680863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78004</xdr:colOff>
      <xdr:row>230</xdr:row>
      <xdr:rowOff>19317</xdr:rowOff>
    </xdr:from>
    <xdr:to>
      <xdr:col>40</xdr:col>
      <xdr:colOff>319737</xdr:colOff>
      <xdr:row>230</xdr:row>
      <xdr:rowOff>291136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CC7DD7B1-CB86-2B49-B01C-7E224BA99009}"/>
            </a:ext>
          </a:extLst>
        </xdr:cNvPr>
        <xdr:cNvSpPr/>
      </xdr:nvSpPr>
      <xdr:spPr>
        <a:xfrm>
          <a:off x="148100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78004</xdr:colOff>
      <xdr:row>241</xdr:row>
      <xdr:rowOff>19317</xdr:rowOff>
    </xdr:from>
    <xdr:to>
      <xdr:col>39</xdr:col>
      <xdr:colOff>319737</xdr:colOff>
      <xdr:row>241</xdr:row>
      <xdr:rowOff>291136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D352BAC3-D3F4-1642-9F7A-D821FC33EF75}"/>
            </a:ext>
          </a:extLst>
        </xdr:cNvPr>
        <xdr:cNvSpPr/>
      </xdr:nvSpPr>
      <xdr:spPr>
        <a:xfrm>
          <a:off x="144417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198871</xdr:colOff>
      <xdr:row>230</xdr:row>
      <xdr:rowOff>155227</xdr:rowOff>
    </xdr:from>
    <xdr:to>
      <xdr:col>40</xdr:col>
      <xdr:colOff>78004</xdr:colOff>
      <xdr:row>241</xdr:row>
      <xdr:rowOff>19317</xdr:rowOff>
    </xdr:to>
    <xdr:cxnSp macro="">
      <xdr:nvCxnSpPr>
        <xdr:cNvPr id="56" name="Curved Connector 55">
          <a:extLst>
            <a:ext uri="{FF2B5EF4-FFF2-40B4-BE49-F238E27FC236}">
              <a16:creationId xmlns:a16="http://schemas.microsoft.com/office/drawing/2014/main" id="{C54C2EA9-9691-E149-97A1-E21B73CF8F4D}"/>
            </a:ext>
          </a:extLst>
        </xdr:cNvPr>
        <xdr:cNvCxnSpPr>
          <a:stCxn id="63" idx="0"/>
          <a:endCxn id="54" idx="2"/>
        </xdr:cNvCxnSpPr>
      </xdr:nvCxnSpPr>
      <xdr:spPr>
        <a:xfrm rot="5400000" flipH="1" flipV="1">
          <a:off x="13077843" y="680863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78004</xdr:colOff>
      <xdr:row>230</xdr:row>
      <xdr:rowOff>19317</xdr:rowOff>
    </xdr:from>
    <xdr:to>
      <xdr:col>34</xdr:col>
      <xdr:colOff>319737</xdr:colOff>
      <xdr:row>230</xdr:row>
      <xdr:rowOff>291136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A57D27ED-F4D6-664F-B4C0-9A87629C7B82}"/>
            </a:ext>
          </a:extLst>
        </xdr:cNvPr>
        <xdr:cNvSpPr/>
      </xdr:nvSpPr>
      <xdr:spPr>
        <a:xfrm>
          <a:off x="126002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78004</xdr:colOff>
      <xdr:row>241</xdr:row>
      <xdr:rowOff>19317</xdr:rowOff>
    </xdr:from>
    <xdr:to>
      <xdr:col>33</xdr:col>
      <xdr:colOff>319737</xdr:colOff>
      <xdr:row>241</xdr:row>
      <xdr:rowOff>291136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AEDCE48D-B786-2442-9284-97377B461297}"/>
            </a:ext>
          </a:extLst>
        </xdr:cNvPr>
        <xdr:cNvSpPr/>
      </xdr:nvSpPr>
      <xdr:spPr>
        <a:xfrm>
          <a:off x="122319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198871</xdr:colOff>
      <xdr:row>230</xdr:row>
      <xdr:rowOff>155227</xdr:rowOff>
    </xdr:from>
    <xdr:to>
      <xdr:col>34</xdr:col>
      <xdr:colOff>78004</xdr:colOff>
      <xdr:row>241</xdr:row>
      <xdr:rowOff>19317</xdr:rowOff>
    </xdr:to>
    <xdr:cxnSp macro="">
      <xdr:nvCxnSpPr>
        <xdr:cNvPr id="59" name="Curved Connector 58">
          <a:extLst>
            <a:ext uri="{FF2B5EF4-FFF2-40B4-BE49-F238E27FC236}">
              <a16:creationId xmlns:a16="http://schemas.microsoft.com/office/drawing/2014/main" id="{1F8D9EBA-C60B-4942-A080-1D72F99B5038}"/>
            </a:ext>
          </a:extLst>
        </xdr:cNvPr>
        <xdr:cNvCxnSpPr>
          <a:stCxn id="58" idx="0"/>
          <a:endCxn id="57" idx="2"/>
        </xdr:cNvCxnSpPr>
      </xdr:nvCxnSpPr>
      <xdr:spPr>
        <a:xfrm rot="5400000" flipH="1" flipV="1">
          <a:off x="10868043" y="68086355"/>
          <a:ext cx="3216890" cy="2474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78004</xdr:colOff>
      <xdr:row>230</xdr:row>
      <xdr:rowOff>19317</xdr:rowOff>
    </xdr:from>
    <xdr:to>
      <xdr:col>37</xdr:col>
      <xdr:colOff>319737</xdr:colOff>
      <xdr:row>230</xdr:row>
      <xdr:rowOff>291136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369DE3A0-FD8B-3C49-A4B3-0C5642D71A73}"/>
            </a:ext>
          </a:extLst>
        </xdr:cNvPr>
        <xdr:cNvSpPr/>
      </xdr:nvSpPr>
      <xdr:spPr>
        <a:xfrm>
          <a:off x="137051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78004</xdr:colOff>
      <xdr:row>241</xdr:row>
      <xdr:rowOff>19317</xdr:rowOff>
    </xdr:from>
    <xdr:to>
      <xdr:col>36</xdr:col>
      <xdr:colOff>319737</xdr:colOff>
      <xdr:row>241</xdr:row>
      <xdr:rowOff>291136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7F96C9EA-7E9A-7A42-BFB3-AD5959C8370C}"/>
            </a:ext>
          </a:extLst>
        </xdr:cNvPr>
        <xdr:cNvSpPr/>
      </xdr:nvSpPr>
      <xdr:spPr>
        <a:xfrm>
          <a:off x="133368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78004</xdr:colOff>
      <xdr:row>230</xdr:row>
      <xdr:rowOff>19317</xdr:rowOff>
    </xdr:from>
    <xdr:to>
      <xdr:col>40</xdr:col>
      <xdr:colOff>319737</xdr:colOff>
      <xdr:row>230</xdr:row>
      <xdr:rowOff>291136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BEC062D9-A861-3548-9545-9D0806203FFD}"/>
            </a:ext>
          </a:extLst>
        </xdr:cNvPr>
        <xdr:cNvSpPr/>
      </xdr:nvSpPr>
      <xdr:spPr>
        <a:xfrm>
          <a:off x="148100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78004</xdr:colOff>
      <xdr:row>241</xdr:row>
      <xdr:rowOff>19317</xdr:rowOff>
    </xdr:from>
    <xdr:to>
      <xdr:col>39</xdr:col>
      <xdr:colOff>319737</xdr:colOff>
      <xdr:row>241</xdr:row>
      <xdr:rowOff>291136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0FEA77AD-CE4D-C049-AEC9-A9A7C6C40609}"/>
            </a:ext>
          </a:extLst>
        </xdr:cNvPr>
        <xdr:cNvSpPr/>
      </xdr:nvSpPr>
      <xdr:spPr>
        <a:xfrm>
          <a:off x="14441704" y="698185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78004</xdr:colOff>
      <xdr:row>230</xdr:row>
      <xdr:rowOff>19317</xdr:rowOff>
    </xdr:from>
    <xdr:to>
      <xdr:col>31</xdr:col>
      <xdr:colOff>319737</xdr:colOff>
      <xdr:row>230</xdr:row>
      <xdr:rowOff>291136</xdr:rowOff>
    </xdr:to>
    <xdr:sp macro="" textlink="">
      <xdr:nvSpPr>
        <xdr:cNvPr id="448" name="Oval 447">
          <a:extLst>
            <a:ext uri="{FF2B5EF4-FFF2-40B4-BE49-F238E27FC236}">
              <a16:creationId xmlns:a16="http://schemas.microsoft.com/office/drawing/2014/main" id="{3DD0FEE4-CBDD-BF43-BCFE-0E0C2F140816}"/>
            </a:ext>
          </a:extLst>
        </xdr:cNvPr>
        <xdr:cNvSpPr/>
      </xdr:nvSpPr>
      <xdr:spPr>
        <a:xfrm>
          <a:off x="114953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78004</xdr:colOff>
      <xdr:row>230</xdr:row>
      <xdr:rowOff>19317</xdr:rowOff>
    </xdr:from>
    <xdr:to>
      <xdr:col>31</xdr:col>
      <xdr:colOff>319737</xdr:colOff>
      <xdr:row>230</xdr:row>
      <xdr:rowOff>291136</xdr:rowOff>
    </xdr:to>
    <xdr:sp macro="" textlink="">
      <xdr:nvSpPr>
        <xdr:cNvPr id="449" name="Oval 448">
          <a:extLst>
            <a:ext uri="{FF2B5EF4-FFF2-40B4-BE49-F238E27FC236}">
              <a16:creationId xmlns:a16="http://schemas.microsoft.com/office/drawing/2014/main" id="{60239DCD-5ADB-644E-9210-6146BC098476}"/>
            </a:ext>
          </a:extLst>
        </xdr:cNvPr>
        <xdr:cNvSpPr/>
      </xdr:nvSpPr>
      <xdr:spPr>
        <a:xfrm>
          <a:off x="11495304" y="664657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78004</xdr:colOff>
      <xdr:row>248</xdr:row>
      <xdr:rowOff>19317</xdr:rowOff>
    </xdr:from>
    <xdr:to>
      <xdr:col>24</xdr:col>
      <xdr:colOff>319737</xdr:colOff>
      <xdr:row>248</xdr:row>
      <xdr:rowOff>291136</xdr:rowOff>
    </xdr:to>
    <xdr:sp macro="" textlink="">
      <xdr:nvSpPr>
        <xdr:cNvPr id="450" name="Oval 449">
          <a:extLst>
            <a:ext uri="{FF2B5EF4-FFF2-40B4-BE49-F238E27FC236}">
              <a16:creationId xmlns:a16="http://schemas.microsoft.com/office/drawing/2014/main" id="{104358E5-F70E-DE42-BC8D-B77E50C55319}"/>
            </a:ext>
          </a:extLst>
        </xdr:cNvPr>
        <xdr:cNvSpPr/>
      </xdr:nvSpPr>
      <xdr:spPr>
        <a:xfrm>
          <a:off x="8917204" y="71952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78004</xdr:colOff>
      <xdr:row>248</xdr:row>
      <xdr:rowOff>19317</xdr:rowOff>
    </xdr:from>
    <xdr:to>
      <xdr:col>24</xdr:col>
      <xdr:colOff>319737</xdr:colOff>
      <xdr:row>248</xdr:row>
      <xdr:rowOff>291136</xdr:rowOff>
    </xdr:to>
    <xdr:sp macro="" textlink="">
      <xdr:nvSpPr>
        <xdr:cNvPr id="451" name="Oval 450">
          <a:extLst>
            <a:ext uri="{FF2B5EF4-FFF2-40B4-BE49-F238E27FC236}">
              <a16:creationId xmlns:a16="http://schemas.microsoft.com/office/drawing/2014/main" id="{6A9FEDD3-CEBF-744E-85C2-47DD526EEB1E}"/>
            </a:ext>
          </a:extLst>
        </xdr:cNvPr>
        <xdr:cNvSpPr/>
      </xdr:nvSpPr>
      <xdr:spPr>
        <a:xfrm>
          <a:off x="8917204" y="71952117"/>
          <a:ext cx="241733" cy="271819"/>
        </a:xfrm>
        <a:prstGeom prst="ellipse">
          <a:avLst/>
        </a:prstGeom>
        <a:noFill/>
        <a:ln>
          <a:prstDash val="sys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198871</xdr:colOff>
      <xdr:row>230</xdr:row>
      <xdr:rowOff>155227</xdr:rowOff>
    </xdr:from>
    <xdr:to>
      <xdr:col>31</xdr:col>
      <xdr:colOff>78004</xdr:colOff>
      <xdr:row>248</xdr:row>
      <xdr:rowOff>19317</xdr:rowOff>
    </xdr:to>
    <xdr:cxnSp macro="">
      <xdr:nvCxnSpPr>
        <xdr:cNvPr id="452" name="Curved Connector 451">
          <a:extLst>
            <a:ext uri="{FF2B5EF4-FFF2-40B4-BE49-F238E27FC236}">
              <a16:creationId xmlns:a16="http://schemas.microsoft.com/office/drawing/2014/main" id="{6669597A-763A-7B48-B70D-E2A05CA6FF07}"/>
            </a:ext>
          </a:extLst>
        </xdr:cNvPr>
        <xdr:cNvCxnSpPr>
          <a:stCxn id="451" idx="0"/>
          <a:endCxn id="449" idx="2"/>
        </xdr:cNvCxnSpPr>
      </xdr:nvCxnSpPr>
      <xdr:spPr>
        <a:xfrm rot="5400000" flipH="1" flipV="1">
          <a:off x="7591443" y="68048255"/>
          <a:ext cx="5350490" cy="2457233"/>
        </a:xfrm>
        <a:prstGeom prst="curvedConnector2">
          <a:avLst/>
        </a:prstGeom>
        <a:ln>
          <a:solidFill>
            <a:schemeClr val="tx1"/>
          </a:solidFill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109247</xdr:colOff>
      <xdr:row>115</xdr:row>
      <xdr:rowOff>0</xdr:rowOff>
    </xdr:from>
    <xdr:to>
      <xdr:col>12</xdr:col>
      <xdr:colOff>279856</xdr:colOff>
      <xdr:row>118</xdr:row>
      <xdr:rowOff>216306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9BB879E7-B55F-1C4B-893C-1796FC33A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547" y="914400"/>
          <a:ext cx="4309943" cy="1130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150213</xdr:rowOff>
    </xdr:from>
    <xdr:to>
      <xdr:col>21</xdr:col>
      <xdr:colOff>211083</xdr:colOff>
      <xdr:row>123</xdr:row>
      <xdr:rowOff>24672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640A4CFB-2EE3-D942-9207-E4203E8D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2283813"/>
          <a:ext cx="7760656" cy="1093658"/>
        </a:xfrm>
        <a:prstGeom prst="rect">
          <a:avLst/>
        </a:prstGeom>
      </xdr:spPr>
    </xdr:pic>
    <xdr:clientData/>
  </xdr:twoCellAnchor>
  <xdr:twoCellAnchor editAs="oneCell">
    <xdr:from>
      <xdr:col>1</xdr:col>
      <xdr:colOff>150213</xdr:colOff>
      <xdr:row>169</xdr:row>
      <xdr:rowOff>122902</xdr:rowOff>
    </xdr:from>
    <xdr:to>
      <xdr:col>24</xdr:col>
      <xdr:colOff>123052</xdr:colOff>
      <xdr:row>173</xdr:row>
      <xdr:rowOff>54622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D11EC1C9-4F39-6942-BE7E-1E0D53AE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513" y="17801302"/>
          <a:ext cx="8651557" cy="1150920"/>
        </a:xfrm>
        <a:prstGeom prst="rect">
          <a:avLst/>
        </a:prstGeom>
      </xdr:spPr>
    </xdr:pic>
    <xdr:clientData/>
  </xdr:twoCellAnchor>
  <xdr:twoCellAnchor editAs="oneCell">
    <xdr:from>
      <xdr:col>1</xdr:col>
      <xdr:colOff>218787</xdr:colOff>
      <xdr:row>382</xdr:row>
      <xdr:rowOff>236683</xdr:rowOff>
    </xdr:from>
    <xdr:to>
      <xdr:col>18</xdr:col>
      <xdr:colOff>237260</xdr:colOff>
      <xdr:row>398</xdr:row>
      <xdr:rowOff>273556</xdr:rowOff>
    </xdr:to>
    <xdr:pic>
      <xdr:nvPicPr>
        <xdr:cNvPr id="456" name="Picture 455" descr="Vision Transformer Explained | Papers With Code">
          <a:extLst>
            <a:ext uri="{FF2B5EF4-FFF2-40B4-BE49-F238E27FC236}">
              <a16:creationId xmlns:a16="http://schemas.microsoft.com/office/drawing/2014/main" id="{D4126C3D-6C3C-F645-A1F4-9C6997C5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087" y="846283"/>
          <a:ext cx="6457373" cy="4913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455</xdr:row>
      <xdr:rowOff>58615</xdr:rowOff>
    </xdr:from>
    <xdr:to>
      <xdr:col>14</xdr:col>
      <xdr:colOff>146304</xdr:colOff>
      <xdr:row>467</xdr:row>
      <xdr:rowOff>253999</xdr:rowOff>
    </xdr:to>
    <xdr:pic>
      <xdr:nvPicPr>
        <xdr:cNvPr id="478" name="Picture 477" descr="Vision Transformer Explained | Papers With Code">
          <a:extLst>
            <a:ext uri="{FF2B5EF4-FFF2-40B4-BE49-F238E27FC236}">
              <a16:creationId xmlns:a16="http://schemas.microsoft.com/office/drawing/2014/main" id="{57C6C3DA-6ED4-124A-864F-9C5ACDDBF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70772215"/>
          <a:ext cx="5061204" cy="3852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158750</xdr:colOff>
      <xdr:row>343</xdr:row>
      <xdr:rowOff>66146</xdr:rowOff>
    </xdr:from>
    <xdr:to>
      <xdr:col>16</xdr:col>
      <xdr:colOff>171978</xdr:colOff>
      <xdr:row>347</xdr:row>
      <xdr:rowOff>198437</xdr:rowOff>
    </xdr:to>
    <xdr:sp macro="" textlink="">
      <xdr:nvSpPr>
        <xdr:cNvPr id="479" name="Rectangle 478">
          <a:extLst>
            <a:ext uri="{FF2B5EF4-FFF2-40B4-BE49-F238E27FC236}">
              <a16:creationId xmlns:a16="http://schemas.microsoft.com/office/drawing/2014/main" id="{DF2B9786-BE27-8C42-A7BE-03AB50711D28}"/>
            </a:ext>
          </a:extLst>
        </xdr:cNvPr>
        <xdr:cNvSpPr/>
      </xdr:nvSpPr>
      <xdr:spPr>
        <a:xfrm>
          <a:off x="5683250" y="75046946"/>
          <a:ext cx="2591328" cy="1351491"/>
        </a:xfrm>
        <a:prstGeom prst="rect">
          <a:avLst/>
        </a:prstGeom>
        <a:noFill/>
        <a:ln>
          <a:prstDash val="sys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311484</xdr:colOff>
      <xdr:row>342</xdr:row>
      <xdr:rowOff>18716</xdr:rowOff>
    </xdr:from>
    <xdr:to>
      <xdr:col>17</xdr:col>
      <xdr:colOff>170597</xdr:colOff>
      <xdr:row>367</xdr:row>
      <xdr:rowOff>175172</xdr:rowOff>
    </xdr:to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02F3F02-E4A5-6A4D-9B88-F7B0A1824025}"/>
            </a:ext>
          </a:extLst>
        </xdr:cNvPr>
        <xdr:cNvSpPr/>
      </xdr:nvSpPr>
      <xdr:spPr>
        <a:xfrm>
          <a:off x="1031783" y="92368567"/>
          <a:ext cx="5507769" cy="773854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000">
              <a:solidFill>
                <a:schemeClr val="tx1"/>
              </a:solidFill>
            </a:rPr>
            <a:t>Feed</a:t>
          </a:r>
          <a:r>
            <a:rPr lang="en-US" sz="3000" baseline="0">
              <a:solidFill>
                <a:schemeClr val="tx1"/>
              </a:solidFill>
            </a:rPr>
            <a:t> Forward</a:t>
          </a:r>
          <a:endParaRPr lang="en-US" sz="3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290721</xdr:colOff>
      <xdr:row>550</xdr:row>
      <xdr:rowOff>61205</xdr:rowOff>
    </xdr:from>
    <xdr:to>
      <xdr:col>34</xdr:col>
      <xdr:colOff>306023</xdr:colOff>
      <xdr:row>554</xdr:row>
      <xdr:rowOff>198916</xdr:rowOff>
    </xdr:to>
    <xdr:sp macro="" textlink="">
      <xdr:nvSpPr>
        <xdr:cNvPr id="483" name="Rectangle 482">
          <a:extLst>
            <a:ext uri="{FF2B5EF4-FFF2-40B4-BE49-F238E27FC236}">
              <a16:creationId xmlns:a16="http://schemas.microsoft.com/office/drawing/2014/main" id="{7F364F0C-ECFE-5249-B2BD-4DF6A08BA3B9}"/>
            </a:ext>
          </a:extLst>
        </xdr:cNvPr>
        <xdr:cNvSpPr/>
      </xdr:nvSpPr>
      <xdr:spPr>
        <a:xfrm>
          <a:off x="1763921" y="66202805"/>
          <a:ext cx="11064302" cy="135691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2E6C-3A2C-8F4B-A396-E87F6C272A9D}">
  <dimension ref="A1:AU590"/>
  <sheetViews>
    <sheetView tabSelected="1" topLeftCell="A550" zoomScale="91" zoomScaleNormal="91" workbookViewId="0">
      <selection activeCell="U580" sqref="U580"/>
    </sheetView>
  </sheetViews>
  <sheetFormatPr defaultColWidth="4.875" defaultRowHeight="24" customHeight="1"/>
  <cols>
    <col min="3" max="7" width="5" bestFit="1" customWidth="1"/>
    <col min="10" max="18" width="5" bestFit="1" customWidth="1"/>
    <col min="20" max="23" width="5" bestFit="1" customWidth="1"/>
    <col min="25" max="27" width="5" bestFit="1" customWidth="1"/>
    <col min="30" max="32" width="5" bestFit="1" customWidth="1"/>
    <col min="33" max="33" width="5.375" bestFit="1" customWidth="1"/>
  </cols>
  <sheetData>
    <row r="1" spans="1:15" s="89" customFormat="1" ht="32.1">
      <c r="A1" s="142" t="s">
        <v>0</v>
      </c>
    </row>
    <row r="4" spans="1:15" ht="24" customHeight="1">
      <c r="E4" s="144">
        <v>5</v>
      </c>
      <c r="N4" s="54">
        <v>2</v>
      </c>
      <c r="O4" s="54">
        <v>1</v>
      </c>
    </row>
    <row r="5" spans="1:15" ht="24" customHeight="1">
      <c r="N5" s="55">
        <v>4</v>
      </c>
      <c r="O5" s="55">
        <v>1</v>
      </c>
    </row>
    <row r="6" spans="1:15" ht="24" customHeight="1">
      <c r="C6" s="143">
        <v>4</v>
      </c>
      <c r="E6" s="48"/>
      <c r="N6" s="56">
        <v>3</v>
      </c>
      <c r="O6" s="56">
        <v>1</v>
      </c>
    </row>
    <row r="8" spans="1:15" ht="24" customHeight="1">
      <c r="J8" s="58">
        <v>1</v>
      </c>
      <c r="K8" s="59">
        <v>2</v>
      </c>
      <c r="L8" s="60">
        <v>1</v>
      </c>
      <c r="N8" s="79"/>
      <c r="O8" s="81"/>
    </row>
    <row r="9" spans="1:15" ht="24" customHeight="1">
      <c r="J9" s="58">
        <v>0</v>
      </c>
      <c r="K9" s="59">
        <v>4</v>
      </c>
      <c r="L9" s="60">
        <v>3</v>
      </c>
      <c r="N9" s="84"/>
      <c r="O9" s="86"/>
    </row>
    <row r="12" spans="1:15" s="51" customFormat="1" ht="24" customHeight="1"/>
    <row r="13" spans="1:15" ht="24" customHeight="1">
      <c r="C13" s="1">
        <v>1</v>
      </c>
      <c r="D13" s="1">
        <v>2</v>
      </c>
      <c r="E13" s="1">
        <v>3</v>
      </c>
    </row>
    <row r="14" spans="1:15" ht="24" customHeight="1">
      <c r="A14" s="50" t="s">
        <v>1</v>
      </c>
      <c r="B14" s="50"/>
      <c r="C14" s="49">
        <f>E6</f>
        <v>0</v>
      </c>
      <c r="D14" s="49">
        <f>N9</f>
        <v>0</v>
      </c>
      <c r="E14" s="49">
        <f>O8</f>
        <v>0</v>
      </c>
    </row>
    <row r="15" spans="1:15" ht="24" customHeight="1">
      <c r="A15" s="50" t="s">
        <v>2</v>
      </c>
      <c r="B15" s="50"/>
      <c r="C15" s="49">
        <v>20</v>
      </c>
      <c r="D15" s="49">
        <v>25</v>
      </c>
      <c r="E15" s="49">
        <v>4</v>
      </c>
    </row>
    <row r="16" spans="1:15" ht="24" customHeight="1">
      <c r="A16" s="50" t="s">
        <v>3</v>
      </c>
      <c r="C16" s="49" t="str">
        <f>IF(C14=C15,"Y","N")</f>
        <v>N</v>
      </c>
      <c r="D16" s="49" t="str">
        <f t="shared" ref="D16:E16" si="0">IF(D14=D15,"Y","N")</f>
        <v>N</v>
      </c>
      <c r="E16" s="49" t="str">
        <f t="shared" si="0"/>
        <v>N</v>
      </c>
    </row>
    <row r="17" spans="1:33" ht="24" customHeight="1">
      <c r="A17" s="50"/>
      <c r="C17" s="1"/>
      <c r="D17" s="1"/>
      <c r="E17" s="1"/>
    </row>
    <row r="18" spans="1:33" ht="24" customHeight="1">
      <c r="A18" s="50"/>
      <c r="C18" s="1"/>
      <c r="D18" s="1"/>
      <c r="E18" s="1"/>
    </row>
    <row r="19" spans="1:33" ht="24" customHeight="1">
      <c r="A19" s="50"/>
      <c r="C19" s="1"/>
      <c r="D19" s="1"/>
      <c r="E19" s="1"/>
    </row>
    <row r="20" spans="1:33" ht="24" customHeight="1">
      <c r="A20" s="50"/>
      <c r="C20" s="1"/>
      <c r="D20" s="1"/>
      <c r="E20" s="1"/>
    </row>
    <row r="21" spans="1:33" ht="24" customHeight="1">
      <c r="A21" s="50"/>
      <c r="C21" s="1"/>
      <c r="D21" s="1"/>
      <c r="E21" s="1"/>
    </row>
    <row r="22" spans="1:33" ht="24" customHeight="1">
      <c r="A22" s="50"/>
      <c r="C22" s="1"/>
      <c r="D22" s="1"/>
      <c r="E22" s="1"/>
    </row>
    <row r="24" spans="1:33" s="89" customFormat="1" ht="32.1">
      <c r="A24" s="142" t="s">
        <v>4</v>
      </c>
    </row>
    <row r="26" spans="1:33" s="33" customFormat="1" ht="24" customHeight="1">
      <c r="A26" s="33" t="s">
        <v>5</v>
      </c>
    </row>
    <row r="27" spans="1:33" ht="24" customHeight="1">
      <c r="AC27" t="s">
        <v>6</v>
      </c>
    </row>
    <row r="28" spans="1:33" ht="24" customHeight="1">
      <c r="AD28" t="s">
        <v>7</v>
      </c>
      <c r="AE28" t="s">
        <v>8</v>
      </c>
      <c r="AF28" t="s">
        <v>9</v>
      </c>
      <c r="AG28" t="s">
        <v>10</v>
      </c>
    </row>
    <row r="29" spans="1:33" ht="24" customHeight="1">
      <c r="AC29" t="s">
        <v>11</v>
      </c>
      <c r="AD29" s="90">
        <v>1.3832697579362332</v>
      </c>
      <c r="AE29" s="90">
        <v>-0.50299166668404671</v>
      </c>
      <c r="AF29" s="90">
        <v>-1.4461223789941873</v>
      </c>
      <c r="AG29" s="90">
        <v>-8.9911680774753098</v>
      </c>
    </row>
    <row r="30" spans="1:33" ht="24" customHeight="1">
      <c r="AC30" t="s">
        <v>12</v>
      </c>
      <c r="AD30" s="91">
        <v>-0.36602540378443882</v>
      </c>
      <c r="AE30" s="91">
        <v>0.12996712698184262</v>
      </c>
      <c r="AF30" s="91">
        <v>0.37796339236498322</v>
      </c>
      <c r="AG30" s="91">
        <v>2.3619335154301089</v>
      </c>
    </row>
    <row r="31" spans="1:33" ht="24" customHeight="1">
      <c r="AC31" t="s">
        <v>13</v>
      </c>
      <c r="AD31" s="92">
        <v>-0.97600726460589093</v>
      </c>
      <c r="AE31" s="92">
        <v>1.023992735394109</v>
      </c>
      <c r="AF31" s="92">
        <v>2.0239927353941094</v>
      </c>
      <c r="AG31" s="92">
        <v>10.02399273539411</v>
      </c>
    </row>
    <row r="33" spans="3:33" ht="24" customHeight="1">
      <c r="X33" t="s">
        <v>14</v>
      </c>
      <c r="AC33" t="s">
        <v>15</v>
      </c>
    </row>
    <row r="34" spans="3:33" ht="24" customHeight="1">
      <c r="Y34" t="s">
        <v>16</v>
      </c>
      <c r="AD34" t="s">
        <v>17</v>
      </c>
      <c r="AE34" t="s">
        <v>18</v>
      </c>
      <c r="AF34" t="s">
        <v>19</v>
      </c>
      <c r="AG34" t="s">
        <v>20</v>
      </c>
    </row>
    <row r="35" spans="3:33" ht="24" customHeight="1">
      <c r="Y35" s="79">
        <v>100</v>
      </c>
      <c r="Z35" s="80">
        <v>0</v>
      </c>
      <c r="AA35" s="81">
        <v>300</v>
      </c>
      <c r="AC35" t="s">
        <v>21</v>
      </c>
      <c r="AD35" s="93"/>
      <c r="AE35" s="93"/>
      <c r="AF35" s="93"/>
      <c r="AG35" s="93"/>
    </row>
    <row r="36" spans="3:33" ht="24" customHeight="1">
      <c r="Y36" s="82">
        <v>0</v>
      </c>
      <c r="Z36">
        <v>200</v>
      </c>
      <c r="AA36" s="83">
        <v>200</v>
      </c>
      <c r="AC36" t="s">
        <v>22</v>
      </c>
      <c r="AD36" s="94"/>
      <c r="AE36" s="94"/>
      <c r="AF36" s="94"/>
      <c r="AG36" s="94"/>
    </row>
    <row r="37" spans="3:33" ht="24" customHeight="1">
      <c r="Y37" s="84">
        <v>0</v>
      </c>
      <c r="Z37" s="85">
        <v>0</v>
      </c>
      <c r="AA37" s="86">
        <v>1</v>
      </c>
    </row>
    <row r="40" spans="3:33" ht="24" customHeight="1">
      <c r="I40" t="s">
        <v>23</v>
      </c>
      <c r="O40" t="s">
        <v>24</v>
      </c>
      <c r="T40" t="s">
        <v>25</v>
      </c>
      <c r="X40" t="s">
        <v>26</v>
      </c>
      <c r="AC40" t="s">
        <v>6</v>
      </c>
    </row>
    <row r="41" spans="3:33" ht="24" customHeight="1" thickBot="1">
      <c r="J41" t="s">
        <v>27</v>
      </c>
      <c r="P41" t="s">
        <v>28</v>
      </c>
      <c r="T41" t="s">
        <v>29</v>
      </c>
      <c r="Y41" t="s">
        <v>30</v>
      </c>
      <c r="AD41" t="s">
        <v>7</v>
      </c>
      <c r="AE41" t="s">
        <v>8</v>
      </c>
      <c r="AF41" t="s">
        <v>9</v>
      </c>
      <c r="AG41" t="s">
        <v>10</v>
      </c>
    </row>
    <row r="42" spans="3:33" ht="24" customHeight="1">
      <c r="J42" s="79">
        <v>100</v>
      </c>
      <c r="K42" s="80">
        <v>0</v>
      </c>
      <c r="L42" s="81">
        <v>0</v>
      </c>
      <c r="P42" s="95">
        <v>0.01</v>
      </c>
      <c r="Q42" s="80">
        <v>0</v>
      </c>
      <c r="R42" s="81">
        <v>0</v>
      </c>
      <c r="T42" s="96">
        <v>1.2699057214975119E-18</v>
      </c>
      <c r="U42" s="97">
        <v>-0.97600726460589093</v>
      </c>
      <c r="V42" s="98">
        <v>0.36602540378443882</v>
      </c>
      <c r="Y42" s="95">
        <v>0.01</v>
      </c>
      <c r="Z42" s="80">
        <v>0</v>
      </c>
      <c r="AA42" s="81">
        <v>-3</v>
      </c>
      <c r="AC42" t="s">
        <v>11</v>
      </c>
      <c r="AD42" s="90"/>
      <c r="AE42" s="90"/>
      <c r="AF42" s="90"/>
      <c r="AG42" s="90"/>
    </row>
    <row r="43" spans="3:33" ht="24" customHeight="1">
      <c r="J43" s="82">
        <v>0</v>
      </c>
      <c r="K43">
        <v>200</v>
      </c>
      <c r="L43" s="83">
        <v>0</v>
      </c>
      <c r="P43" s="82">
        <v>0</v>
      </c>
      <c r="Q43" s="104">
        <v>5.0000000000000001E-3</v>
      </c>
      <c r="R43" s="83">
        <v>0</v>
      </c>
      <c r="T43" s="99">
        <v>0.97600726460589116</v>
      </c>
      <c r="U43">
        <v>-1.0690894390537482E-18</v>
      </c>
      <c r="V43" s="100">
        <v>1.383269757936233</v>
      </c>
      <c r="Y43" s="82">
        <v>0</v>
      </c>
      <c r="Z43" s="104">
        <v>5.0000000000000001E-3</v>
      </c>
      <c r="AA43" s="83">
        <v>-1</v>
      </c>
      <c r="AC43" t="s">
        <v>12</v>
      </c>
      <c r="AD43" s="91"/>
      <c r="AE43" s="91"/>
      <c r="AF43" s="91"/>
      <c r="AG43" s="91"/>
    </row>
    <row r="44" spans="3:33" ht="24" customHeight="1" thickBot="1">
      <c r="J44" s="84">
        <v>300</v>
      </c>
      <c r="K44" s="85">
        <v>200</v>
      </c>
      <c r="L44" s="86">
        <v>1</v>
      </c>
      <c r="P44" s="84">
        <v>-3</v>
      </c>
      <c r="Q44" s="85">
        <v>-1</v>
      </c>
      <c r="R44" s="86">
        <v>1</v>
      </c>
      <c r="T44" s="101">
        <v>-0.36602540378443887</v>
      </c>
      <c r="U44" s="102">
        <v>-1.383269757936233</v>
      </c>
      <c r="V44" s="103">
        <v>4.4992322300638846E-19</v>
      </c>
      <c r="Y44" s="84">
        <v>0</v>
      </c>
      <c r="Z44" s="85">
        <v>0</v>
      </c>
      <c r="AA44" s="86">
        <v>1</v>
      </c>
      <c r="AC44" t="s">
        <v>13</v>
      </c>
      <c r="AD44" s="92"/>
      <c r="AE44" s="92"/>
      <c r="AF44" s="92"/>
      <c r="AG44" s="92"/>
    </row>
    <row r="46" spans="3:33" ht="24" customHeight="1">
      <c r="C46" t="s">
        <v>31</v>
      </c>
      <c r="I46" t="s">
        <v>32</v>
      </c>
      <c r="O46" t="s">
        <v>31</v>
      </c>
    </row>
    <row r="47" spans="3:33" ht="24" customHeight="1">
      <c r="D47" t="s">
        <v>11</v>
      </c>
      <c r="E47" t="s">
        <v>12</v>
      </c>
      <c r="F47" t="s">
        <v>13</v>
      </c>
      <c r="J47" t="s">
        <v>21</v>
      </c>
      <c r="K47" t="s">
        <v>22</v>
      </c>
      <c r="P47" t="s">
        <v>11</v>
      </c>
      <c r="Q47" t="s">
        <v>12</v>
      </c>
      <c r="R47" t="s">
        <v>13</v>
      </c>
      <c r="AD47" t="s">
        <v>33</v>
      </c>
    </row>
    <row r="48" spans="3:33" ht="24" customHeight="1">
      <c r="C48" t="s">
        <v>34</v>
      </c>
      <c r="D48" s="105">
        <v>-1.8862614246202796</v>
      </c>
      <c r="E48" s="106">
        <v>0.49599253076628136</v>
      </c>
      <c r="F48" s="107">
        <v>2</v>
      </c>
      <c r="I48" t="s">
        <v>35</v>
      </c>
      <c r="J48" s="108" cm="1">
        <f t="array" ref="J48:L48">MMULT(D48:F48,J42:L44)</f>
        <v>411.37385753797207</v>
      </c>
      <c r="K48" s="109">
        <v>499.19850615325629</v>
      </c>
      <c r="L48">
        <v>2</v>
      </c>
      <c r="O48" t="s">
        <v>34</v>
      </c>
      <c r="P48" s="105" cm="1">
        <f t="array" ref="P48:R48">MMULT(J48:L48,P42:R44)</f>
        <v>-1.8862614246202796</v>
      </c>
      <c r="Q48" s="106">
        <v>0.49599253076628136</v>
      </c>
      <c r="R48" s="107">
        <v>2</v>
      </c>
      <c r="T48" s="35" cm="1">
        <f t="array" ref="T48:V48">MMULT(_xlfn.ANCHORARRAY(P48),T42:V44)</f>
        <v>-0.24795849435072614</v>
      </c>
      <c r="U48" s="88">
        <v>-0.92553466249721583</v>
      </c>
      <c r="V48" s="36">
        <v>-4.3281316183949583E-3</v>
      </c>
      <c r="AD48" s="110"/>
      <c r="AE48" s="110"/>
      <c r="AF48" s="110"/>
      <c r="AG48" s="110"/>
    </row>
    <row r="53" spans="1:33" s="33" customFormat="1" ht="24" customHeight="1">
      <c r="A53" s="33" t="s">
        <v>36</v>
      </c>
    </row>
    <row r="55" spans="1:33" ht="24" customHeight="1">
      <c r="Y55" t="s">
        <v>37</v>
      </c>
    </row>
    <row r="56" spans="1:33" ht="24" customHeight="1" thickBot="1">
      <c r="P56" t="s">
        <v>28</v>
      </c>
      <c r="T56" t="s">
        <v>38</v>
      </c>
      <c r="Y56" t="s">
        <v>39</v>
      </c>
      <c r="AD56" t="s">
        <v>17</v>
      </c>
      <c r="AE56" t="s">
        <v>18</v>
      </c>
      <c r="AF56" t="s">
        <v>19</v>
      </c>
      <c r="AG56" t="s">
        <v>20</v>
      </c>
    </row>
    <row r="57" spans="1:33" ht="24" customHeight="1">
      <c r="P57" s="95">
        <v>0.01</v>
      </c>
      <c r="Q57" s="80">
        <v>0</v>
      </c>
      <c r="R57" s="81">
        <v>0</v>
      </c>
      <c r="T57" s="79"/>
      <c r="U57" s="80"/>
      <c r="V57" s="81"/>
      <c r="Y57" s="96"/>
      <c r="Z57" s="97"/>
      <c r="AA57" s="98"/>
      <c r="AC57" t="s">
        <v>21</v>
      </c>
      <c r="AD57" s="93"/>
      <c r="AE57" s="93"/>
      <c r="AF57" s="93"/>
      <c r="AG57" s="93"/>
    </row>
    <row r="58" spans="1:33" ht="24" customHeight="1">
      <c r="P58" s="82">
        <v>0</v>
      </c>
      <c r="Q58" s="104">
        <v>5.0000000000000001E-3</v>
      </c>
      <c r="R58" s="83">
        <v>0</v>
      </c>
      <c r="T58" s="82"/>
      <c r="V58" s="83"/>
      <c r="Y58" s="99"/>
      <c r="AA58" s="100"/>
      <c r="AC58" t="s">
        <v>22</v>
      </c>
      <c r="AD58" s="94"/>
      <c r="AE58" s="94"/>
      <c r="AF58" s="94"/>
      <c r="AG58" s="94"/>
    </row>
    <row r="59" spans="1:33" ht="24" customHeight="1" thickBot="1">
      <c r="P59" s="84">
        <v>-3</v>
      </c>
      <c r="Q59" s="85">
        <v>-1</v>
      </c>
      <c r="R59" s="86">
        <v>1</v>
      </c>
      <c r="T59" s="84"/>
      <c r="U59" s="85"/>
      <c r="V59" s="86"/>
      <c r="Y59" s="101"/>
      <c r="Z59" s="102"/>
      <c r="AA59" s="103"/>
    </row>
    <row r="61" spans="1:33" ht="24" customHeight="1">
      <c r="T61" t="s">
        <v>32</v>
      </c>
    </row>
    <row r="62" spans="1:33" ht="24" customHeight="1">
      <c r="U62" t="s">
        <v>21</v>
      </c>
      <c r="V62" t="s">
        <v>22</v>
      </c>
      <c r="AD62" t="s">
        <v>40</v>
      </c>
    </row>
    <row r="63" spans="1:33" ht="24" customHeight="1">
      <c r="T63" t="s">
        <v>35</v>
      </c>
      <c r="U63" s="108" cm="1">
        <f t="array" ref="U63:W63">_xlfn.ANCHORARRAY(J48)</f>
        <v>411.37385753797207</v>
      </c>
      <c r="V63" s="109">
        <v>499.19850615325629</v>
      </c>
      <c r="W63">
        <v>2</v>
      </c>
      <c r="Y63" s="35"/>
      <c r="Z63" s="88"/>
      <c r="AA63" s="36"/>
      <c r="AD63" s="110"/>
      <c r="AE63" s="110"/>
      <c r="AF63" s="110"/>
      <c r="AG63" s="110"/>
    </row>
    <row r="65" spans="1:15" s="51" customFormat="1" ht="24" customHeight="1"/>
    <row r="66" spans="1:15" ht="24" customHeight="1">
      <c r="C66" s="1">
        <v>1</v>
      </c>
      <c r="D66" s="1">
        <v>2</v>
      </c>
      <c r="E66" s="1">
        <v>3</v>
      </c>
      <c r="F66" s="1">
        <v>4</v>
      </c>
      <c r="G66" s="1">
        <v>5</v>
      </c>
    </row>
    <row r="67" spans="1:15" ht="24" customHeight="1">
      <c r="A67" s="50" t="s">
        <v>1</v>
      </c>
      <c r="B67" s="50"/>
      <c r="C67" s="49">
        <f>AE36</f>
        <v>0</v>
      </c>
      <c r="D67" s="49">
        <f>AG43</f>
        <v>0</v>
      </c>
      <c r="E67" s="49">
        <f>AF48</f>
        <v>0</v>
      </c>
      <c r="F67" s="49">
        <f>AA58</f>
        <v>0</v>
      </c>
      <c r="G67" s="49">
        <f>AG63</f>
        <v>0</v>
      </c>
    </row>
    <row r="68" spans="1:15" ht="24" customHeight="1">
      <c r="A68" s="50" t="s">
        <v>2</v>
      </c>
      <c r="B68" s="50"/>
      <c r="C68" s="49">
        <v>230.79197247519033</v>
      </c>
      <c r="D68" s="49">
        <v>2.361933515430108</v>
      </c>
      <c r="E68" s="49">
        <v>2.9837243786801082E-16</v>
      </c>
      <c r="F68" s="49">
        <v>-7.7237601794072023E-3</v>
      </c>
      <c r="G68" s="49">
        <v>-1.4210854715202004E-14</v>
      </c>
    </row>
    <row r="69" spans="1:15" ht="24" customHeight="1">
      <c r="A69" s="50" t="s">
        <v>3</v>
      </c>
      <c r="C69" s="49" t="str">
        <f>IF(C67=C68,"Y","N")</f>
        <v>N</v>
      </c>
      <c r="D69" s="49" t="str">
        <f t="shared" ref="D69:G69" si="1">IF(D67=D68,"Y","N")</f>
        <v>N</v>
      </c>
      <c r="E69" s="49" t="str">
        <f t="shared" si="1"/>
        <v>N</v>
      </c>
      <c r="F69" s="49" t="str">
        <f t="shared" si="1"/>
        <v>N</v>
      </c>
      <c r="G69" s="49" t="str">
        <f t="shared" si="1"/>
        <v>N</v>
      </c>
    </row>
    <row r="70" spans="1:15" ht="24" customHeight="1">
      <c r="A70" s="50"/>
      <c r="C70" s="1"/>
      <c r="D70" s="1"/>
      <c r="E70" s="1"/>
      <c r="F70" s="1"/>
      <c r="G70" s="1"/>
    </row>
    <row r="71" spans="1:15" ht="24" customHeight="1">
      <c r="A71" s="50"/>
      <c r="C71" s="1"/>
      <c r="D71" s="1"/>
      <c r="E71" s="1"/>
      <c r="F71" s="1"/>
      <c r="G71" s="1"/>
    </row>
    <row r="72" spans="1:15" ht="24" customHeight="1">
      <c r="A72" s="50"/>
      <c r="C72" s="1"/>
      <c r="D72" s="1"/>
      <c r="E72" s="1"/>
      <c r="F72" s="1"/>
      <c r="G72" s="1"/>
    </row>
    <row r="73" spans="1:15" ht="24" customHeight="1">
      <c r="A73" s="50"/>
      <c r="C73" s="1"/>
      <c r="D73" s="1"/>
      <c r="E73" s="1"/>
      <c r="F73" s="1"/>
      <c r="G73" s="1"/>
    </row>
    <row r="74" spans="1:15" ht="24" customHeight="1">
      <c r="A74" s="50"/>
      <c r="C74" s="1"/>
      <c r="D74" s="1"/>
      <c r="E74" s="1"/>
      <c r="F74" s="1"/>
      <c r="G74" s="1"/>
    </row>
    <row r="76" spans="1:15" s="89" customFormat="1" ht="32.1">
      <c r="A76" s="142" t="s">
        <v>41</v>
      </c>
    </row>
    <row r="78" spans="1:15" ht="24" customHeight="1">
      <c r="M78" s="1" t="s">
        <v>42</v>
      </c>
      <c r="N78" s="1" t="s">
        <v>43</v>
      </c>
      <c r="O78" s="1" t="s">
        <v>44</v>
      </c>
    </row>
    <row r="79" spans="1:15" ht="24" customHeight="1">
      <c r="E79" s="57"/>
      <c r="F79" s="57"/>
      <c r="G79" s="57"/>
      <c r="H79" s="57"/>
      <c r="I79" s="57"/>
      <c r="J79" s="57"/>
      <c r="K79" s="57"/>
      <c r="L79" s="57"/>
      <c r="M79" s="54">
        <v>2</v>
      </c>
      <c r="N79" s="54">
        <v>1</v>
      </c>
      <c r="O79" s="54">
        <v>1</v>
      </c>
    </row>
    <row r="80" spans="1:15" ht="24" customHeight="1">
      <c r="E80" s="57"/>
      <c r="F80" s="57"/>
      <c r="G80" s="57"/>
      <c r="H80" s="57"/>
      <c r="I80" s="57"/>
      <c r="J80" s="57"/>
      <c r="K80" s="57"/>
      <c r="L80" s="57"/>
      <c r="M80" s="55">
        <v>4</v>
      </c>
      <c r="N80" s="55">
        <v>1</v>
      </c>
      <c r="O80" s="55">
        <v>-2</v>
      </c>
    </row>
    <row r="81" spans="4:15" ht="24" customHeight="1">
      <c r="D81" s="57"/>
      <c r="E81" s="57"/>
      <c r="F81" s="57"/>
      <c r="G81" s="3" t="s">
        <v>45</v>
      </c>
      <c r="J81" s="57"/>
      <c r="L81" s="57"/>
      <c r="M81" s="56">
        <v>3</v>
      </c>
      <c r="N81" s="56">
        <v>1</v>
      </c>
      <c r="O81" s="56">
        <v>-1</v>
      </c>
    </row>
    <row r="82" spans="4:15" ht="24" customHeight="1">
      <c r="D82" s="57"/>
      <c r="E82" s="57"/>
      <c r="F82" s="57"/>
      <c r="G82" s="57"/>
      <c r="H82" s="57"/>
      <c r="I82" s="3"/>
      <c r="J82" s="3"/>
      <c r="L82" s="3" t="s">
        <v>46</v>
      </c>
      <c r="M82" s="57"/>
      <c r="N82" s="57"/>
      <c r="O82" s="57"/>
    </row>
    <row r="83" spans="4:15" ht="24" customHeight="1">
      <c r="D83" s="57"/>
      <c r="E83" s="57"/>
      <c r="F83" s="57"/>
      <c r="G83" s="1" t="s">
        <v>17</v>
      </c>
      <c r="H83" s="58">
        <v>1</v>
      </c>
      <c r="I83" s="59">
        <v>2</v>
      </c>
      <c r="J83" s="60">
        <v>1</v>
      </c>
      <c r="L83" s="57"/>
      <c r="M83" s="67"/>
      <c r="N83" s="67"/>
      <c r="O83" s="68"/>
    </row>
    <row r="84" spans="4:15" ht="24" customHeight="1">
      <c r="D84" s="57"/>
      <c r="E84" s="57"/>
      <c r="F84" s="57"/>
      <c r="G84" s="1" t="s">
        <v>18</v>
      </c>
      <c r="H84" s="58">
        <v>0</v>
      </c>
      <c r="I84" s="59">
        <v>4</v>
      </c>
      <c r="J84" s="60">
        <v>3</v>
      </c>
      <c r="L84" s="57"/>
      <c r="M84" s="69"/>
      <c r="N84" s="69"/>
      <c r="O84" s="70"/>
    </row>
    <row r="85" spans="4:15" ht="24" customHeight="1">
      <c r="D85" s="57"/>
      <c r="E85" s="57"/>
      <c r="F85" s="57"/>
      <c r="G85" s="1" t="s">
        <v>19</v>
      </c>
      <c r="H85" s="58">
        <v>0</v>
      </c>
      <c r="I85" s="59">
        <v>3</v>
      </c>
      <c r="J85" s="60">
        <v>0</v>
      </c>
      <c r="L85" s="57"/>
      <c r="M85" s="69"/>
      <c r="N85" s="69"/>
      <c r="O85" s="70"/>
    </row>
    <row r="86" spans="4:15" ht="24" customHeight="1">
      <c r="D86" s="57"/>
      <c r="E86" s="57"/>
      <c r="F86" s="57"/>
      <c r="G86" s="1" t="s">
        <v>20</v>
      </c>
      <c r="H86" s="58">
        <v>0</v>
      </c>
      <c r="I86" s="59">
        <v>3</v>
      </c>
      <c r="J86" s="60">
        <v>1</v>
      </c>
      <c r="L86" s="57"/>
      <c r="M86" s="69"/>
      <c r="N86" s="69"/>
      <c r="O86" s="70"/>
    </row>
    <row r="87" spans="4:15" ht="24" customHeight="1">
      <c r="D87" s="57"/>
      <c r="E87" s="57"/>
      <c r="F87" s="57"/>
      <c r="G87" s="1" t="s">
        <v>47</v>
      </c>
      <c r="H87" s="58">
        <v>5</v>
      </c>
      <c r="I87" s="59">
        <v>0</v>
      </c>
      <c r="J87" s="60">
        <v>3</v>
      </c>
      <c r="L87" s="57"/>
      <c r="M87" s="69"/>
      <c r="N87" s="69"/>
      <c r="O87" s="70"/>
    </row>
    <row r="88" spans="4:15" ht="24" customHeight="1">
      <c r="D88" s="57"/>
      <c r="E88" s="57"/>
      <c r="F88" s="57"/>
      <c r="G88" s="1" t="s">
        <v>48</v>
      </c>
      <c r="H88" s="58">
        <v>1</v>
      </c>
      <c r="I88" s="59">
        <v>-2</v>
      </c>
      <c r="J88" s="60">
        <v>3</v>
      </c>
      <c r="L88" s="57"/>
      <c r="M88" s="71"/>
      <c r="N88" s="71"/>
      <c r="O88" s="72"/>
    </row>
    <row r="89" spans="4:15" ht="24" customHeight="1">
      <c r="D89" s="57"/>
      <c r="E89" s="57"/>
      <c r="F89" s="57"/>
      <c r="G89" s="57"/>
      <c r="H89" s="57"/>
      <c r="I89" s="57"/>
      <c r="J89" s="57"/>
      <c r="L89" s="57" t="s">
        <v>49</v>
      </c>
      <c r="M89" s="57"/>
      <c r="N89" s="57"/>
      <c r="O89" s="57"/>
    </row>
    <row r="90" spans="4:15" ht="24" customHeight="1">
      <c r="D90" s="57"/>
      <c r="E90" s="57"/>
      <c r="F90" s="57"/>
      <c r="G90" s="57"/>
      <c r="H90" s="57"/>
      <c r="I90" s="1" t="s">
        <v>50</v>
      </c>
      <c r="J90" s="66">
        <v>1</v>
      </c>
      <c r="L90" s="57"/>
      <c r="M90" s="73"/>
      <c r="N90" s="61"/>
      <c r="O90" s="74"/>
    </row>
    <row r="91" spans="4:15" ht="24" customHeight="1">
      <c r="D91" s="57"/>
      <c r="E91" s="57"/>
      <c r="F91" s="57"/>
      <c r="G91" s="57"/>
      <c r="H91" s="57"/>
      <c r="I91" s="1" t="s">
        <v>51</v>
      </c>
      <c r="J91" s="66">
        <v>-1</v>
      </c>
      <c r="L91" s="57"/>
      <c r="M91" s="75"/>
      <c r="N91" s="62"/>
      <c r="O91" s="76"/>
    </row>
    <row r="92" spans="4:15" ht="24" customHeight="1">
      <c r="D92" s="57"/>
      <c r="E92" s="57"/>
      <c r="F92" s="57"/>
      <c r="G92" s="57"/>
      <c r="H92" s="57"/>
      <c r="I92" s="1" t="s">
        <v>52</v>
      </c>
      <c r="J92" s="66">
        <v>1</v>
      </c>
      <c r="L92" s="57"/>
      <c r="M92" s="75"/>
      <c r="N92" s="62"/>
      <c r="O92" s="76"/>
    </row>
    <row r="93" spans="4:15" ht="24" customHeight="1">
      <c r="D93" s="57"/>
      <c r="E93" s="57"/>
      <c r="F93" s="57"/>
      <c r="G93" s="57"/>
      <c r="H93" s="57"/>
      <c r="I93" s="1" t="s">
        <v>53</v>
      </c>
      <c r="J93" s="66">
        <v>-1</v>
      </c>
      <c r="L93" s="57"/>
      <c r="M93" s="75"/>
      <c r="N93" s="62"/>
      <c r="O93" s="76"/>
    </row>
    <row r="94" spans="4:15" ht="24" customHeight="1">
      <c r="D94" s="57"/>
      <c r="E94" s="57"/>
      <c r="F94" s="57"/>
      <c r="G94" s="57"/>
      <c r="H94" s="57"/>
      <c r="I94" s="1" t="s">
        <v>54</v>
      </c>
      <c r="J94" s="66">
        <v>1</v>
      </c>
      <c r="L94" s="57"/>
      <c r="M94" s="75"/>
      <c r="N94" s="62"/>
      <c r="O94" s="76"/>
    </row>
    <row r="95" spans="4:15" ht="24" customHeight="1">
      <c r="D95" s="57"/>
      <c r="E95" s="57"/>
      <c r="F95" s="57"/>
      <c r="G95" s="57"/>
      <c r="H95" s="57"/>
      <c r="I95" s="1" t="s">
        <v>55</v>
      </c>
      <c r="J95" s="66">
        <v>-1</v>
      </c>
      <c r="L95" s="57"/>
      <c r="M95" s="77"/>
      <c r="N95" s="63"/>
      <c r="O95" s="78"/>
    </row>
    <row r="96" spans="4:15" ht="24" customHeight="1">
      <c r="D96" s="3" t="s">
        <v>56</v>
      </c>
      <c r="E96" s="57"/>
      <c r="F96" s="57"/>
      <c r="G96" s="57"/>
      <c r="H96" s="57"/>
      <c r="I96" s="57"/>
      <c r="J96" s="57"/>
      <c r="L96" s="57"/>
      <c r="M96" s="57">
        <v>1</v>
      </c>
      <c r="N96" s="57">
        <v>1</v>
      </c>
      <c r="O96" s="57">
        <v>1</v>
      </c>
    </row>
    <row r="97" spans="1:15" ht="24" customHeight="1">
      <c r="D97" s="1" t="s">
        <v>57</v>
      </c>
      <c r="E97" s="1" t="s">
        <v>58</v>
      </c>
      <c r="F97" s="1" t="s">
        <v>59</v>
      </c>
      <c r="G97" s="1" t="s">
        <v>60</v>
      </c>
      <c r="H97" s="1" t="s">
        <v>61</v>
      </c>
      <c r="I97" s="1" t="s">
        <v>62</v>
      </c>
      <c r="J97" s="1" t="s">
        <v>63</v>
      </c>
      <c r="L97" t="s">
        <v>64</v>
      </c>
      <c r="N97" s="57"/>
      <c r="O97" s="57"/>
    </row>
    <row r="98" spans="1:15" ht="24" customHeight="1">
      <c r="D98" s="64">
        <v>2</v>
      </c>
      <c r="E98" s="64">
        <v>0</v>
      </c>
      <c r="F98" s="64">
        <v>1</v>
      </c>
      <c r="G98" s="64">
        <v>1</v>
      </c>
      <c r="H98" s="64">
        <v>0</v>
      </c>
      <c r="I98" s="64">
        <v>1</v>
      </c>
      <c r="J98" s="65">
        <v>2</v>
      </c>
      <c r="L98" s="57"/>
      <c r="M98" s="66"/>
      <c r="N98" s="66"/>
      <c r="O98" s="66"/>
    </row>
    <row r="99" spans="1:15" ht="24" customHeight="1">
      <c r="E99" s="57"/>
      <c r="F99" s="57"/>
      <c r="G99" s="57"/>
      <c r="H99" s="57"/>
      <c r="I99" s="57"/>
      <c r="J99" s="57"/>
      <c r="K99" s="57"/>
      <c r="L99" t="s">
        <v>65</v>
      </c>
      <c r="M99" s="57"/>
      <c r="N99" s="57"/>
      <c r="O99" s="57"/>
    </row>
    <row r="100" spans="1:15" ht="24" customHeight="1">
      <c r="D100" t="s">
        <v>66</v>
      </c>
      <c r="E100" s="57"/>
      <c r="F100" s="57"/>
      <c r="G100" s="57"/>
      <c r="H100" s="57"/>
      <c r="I100" s="57"/>
      <c r="J100" s="57"/>
      <c r="K100" s="57"/>
      <c r="L100" s="57"/>
      <c r="M100" s="66"/>
      <c r="N100" s="66"/>
      <c r="O100" s="66"/>
    </row>
    <row r="101" spans="1:15" ht="24" customHeight="1">
      <c r="D101" t="s">
        <v>67</v>
      </c>
      <c r="M101" s="1" t="s">
        <v>68</v>
      </c>
      <c r="N101" s="1" t="s">
        <v>69</v>
      </c>
      <c r="O101" s="1" t="s">
        <v>70</v>
      </c>
    </row>
    <row r="102" spans="1:15" ht="24" customHeight="1">
      <c r="M102" s="1"/>
      <c r="N102" s="1"/>
      <c r="O102" s="1"/>
    </row>
    <row r="103" spans="1:15" s="51" customFormat="1" ht="24" customHeight="1"/>
    <row r="104" spans="1:15" ht="24" customHeight="1">
      <c r="C104" s="1">
        <v>1</v>
      </c>
      <c r="D104" s="1">
        <v>2</v>
      </c>
      <c r="E104" s="1">
        <v>3</v>
      </c>
      <c r="F104" s="1">
        <v>4</v>
      </c>
      <c r="G104" s="1">
        <v>5</v>
      </c>
    </row>
    <row r="105" spans="1:15" ht="24" customHeight="1">
      <c r="A105" s="50" t="s">
        <v>1</v>
      </c>
      <c r="B105" s="50"/>
      <c r="C105" s="49">
        <f>N86</f>
        <v>0</v>
      </c>
      <c r="D105" s="49">
        <f>N90</f>
        <v>0</v>
      </c>
      <c r="E105" s="49">
        <f>M98</f>
        <v>0</v>
      </c>
      <c r="F105" s="49">
        <f>N100</f>
        <v>0</v>
      </c>
      <c r="G105" s="49">
        <f>O94</f>
        <v>0</v>
      </c>
    </row>
    <row r="106" spans="1:15" ht="24" customHeight="1">
      <c r="A106" s="50" t="s">
        <v>2</v>
      </c>
      <c r="B106" s="50"/>
      <c r="C106" s="49">
        <v>4</v>
      </c>
      <c r="D106" s="49">
        <v>4</v>
      </c>
      <c r="E106" s="49">
        <v>22</v>
      </c>
      <c r="F106" s="49">
        <v>1</v>
      </c>
      <c r="G106" s="49">
        <v>2</v>
      </c>
    </row>
    <row r="107" spans="1:15" ht="24" customHeight="1">
      <c r="A107" s="50" t="s">
        <v>3</v>
      </c>
      <c r="C107" s="49" t="str">
        <f>IF(C105=C106,"Y","N")</f>
        <v>N</v>
      </c>
      <c r="D107" s="49" t="str">
        <f t="shared" ref="D107:G107" si="2">IF(D105=D106,"Y","N")</f>
        <v>N</v>
      </c>
      <c r="E107" s="49" t="str">
        <f t="shared" si="2"/>
        <v>N</v>
      </c>
      <c r="F107" s="49" t="str">
        <f t="shared" si="2"/>
        <v>N</v>
      </c>
      <c r="G107" s="49" t="str">
        <f t="shared" si="2"/>
        <v>N</v>
      </c>
    </row>
    <row r="108" spans="1:15" ht="24" customHeight="1">
      <c r="A108" s="50"/>
      <c r="C108" s="1"/>
      <c r="D108" s="1"/>
      <c r="E108" s="1"/>
      <c r="F108" s="1"/>
      <c r="G108" s="1"/>
    </row>
    <row r="109" spans="1:15" ht="24" customHeight="1">
      <c r="A109" s="50"/>
      <c r="C109" s="1"/>
      <c r="D109" s="1"/>
      <c r="E109" s="1"/>
      <c r="F109" s="1"/>
      <c r="G109" s="1"/>
    </row>
    <row r="110" spans="1:15" ht="24" customHeight="1">
      <c r="A110" s="50"/>
      <c r="C110" s="1"/>
      <c r="D110" s="1"/>
      <c r="E110" s="1"/>
      <c r="F110" s="1"/>
      <c r="G110" s="1"/>
    </row>
    <row r="111" spans="1:15" ht="24" customHeight="1">
      <c r="A111" s="50"/>
      <c r="C111" s="1"/>
      <c r="D111" s="1"/>
      <c r="E111" s="1"/>
      <c r="F111" s="1"/>
      <c r="G111" s="1"/>
    </row>
    <row r="113" spans="1:35" s="89" customFormat="1" ht="32.1">
      <c r="A113" s="142" t="s">
        <v>71</v>
      </c>
    </row>
    <row r="115" spans="1:35" ht="24" customHeight="1">
      <c r="AA115" t="s">
        <v>72</v>
      </c>
      <c r="AE115" t="s">
        <v>73</v>
      </c>
    </row>
    <row r="116" spans="1:35" ht="24" customHeight="1">
      <c r="AA116" t="s">
        <v>74</v>
      </c>
      <c r="AD116" t="s">
        <v>75</v>
      </c>
      <c r="AE116" s="79">
        <v>3</v>
      </c>
      <c r="AF116" s="80">
        <v>-7.4270509831248424</v>
      </c>
      <c r="AG116" s="80">
        <v>-4.0729490168751585</v>
      </c>
      <c r="AH116" s="80">
        <v>-4.0729490168751568</v>
      </c>
      <c r="AI116" s="81">
        <v>-7.4270509831248432</v>
      </c>
    </row>
    <row r="117" spans="1:35" ht="24" customHeight="1">
      <c r="AE117" s="82">
        <v>5.9270509831248424</v>
      </c>
      <c r="AF117">
        <v>-1.309016994374947</v>
      </c>
      <c r="AG117">
        <v>1.1909830056250519</v>
      </c>
      <c r="AH117">
        <v>-3.118033988749894</v>
      </c>
      <c r="AI117" s="83">
        <v>2.3090169943749461</v>
      </c>
    </row>
    <row r="118" spans="1:35" ht="24" customHeight="1">
      <c r="AE118" s="82">
        <v>2.5729490168751585</v>
      </c>
      <c r="AF118">
        <v>-0.88196601125010554</v>
      </c>
      <c r="AG118">
        <v>-0.19098300562505344</v>
      </c>
      <c r="AH118">
        <v>1.1909830056250528</v>
      </c>
      <c r="AI118" s="83">
        <v>2.3090169943749457</v>
      </c>
    </row>
    <row r="119" spans="1:35" ht="24" customHeight="1">
      <c r="AE119" s="82">
        <v>2.5729490168751572</v>
      </c>
      <c r="AF119">
        <v>2.3090169943749466</v>
      </c>
      <c r="AG119">
        <v>1.1909830056250525</v>
      </c>
      <c r="AH119">
        <v>-0.19098300562505399</v>
      </c>
      <c r="AI119" s="83">
        <v>-0.88196601125010932</v>
      </c>
    </row>
    <row r="120" spans="1:35" ht="24" customHeight="1">
      <c r="AE120" s="84">
        <v>5.9270509831248415</v>
      </c>
      <c r="AF120" s="85">
        <v>2.3090169943749479</v>
      </c>
      <c r="AG120" s="85">
        <v>-3.1180339887498958</v>
      </c>
      <c r="AH120" s="85">
        <v>1.1909830056250543</v>
      </c>
      <c r="AI120" s="86">
        <v>-1.3090169943749483</v>
      </c>
    </row>
    <row r="122" spans="1:35" ht="24" customHeight="1">
      <c r="AE122" s="37"/>
    </row>
    <row r="123" spans="1:35" ht="24" customHeight="1">
      <c r="AE123" s="87"/>
    </row>
    <row r="124" spans="1:35" ht="24" customHeight="1">
      <c r="AE124" s="87"/>
    </row>
    <row r="125" spans="1:35" ht="24" customHeight="1">
      <c r="AE125" s="87"/>
    </row>
    <row r="126" spans="1:35" ht="24" customHeight="1">
      <c r="AE126" s="87"/>
    </row>
    <row r="127" spans="1:35" ht="24" customHeight="1">
      <c r="E127" t="s">
        <v>76</v>
      </c>
      <c r="AE127" s="87"/>
    </row>
    <row r="128" spans="1:35" ht="24" customHeight="1">
      <c r="AE128" s="87"/>
    </row>
    <row r="129" spans="5:31" ht="24" customHeight="1">
      <c r="E129" s="79">
        <v>1</v>
      </c>
      <c r="F129" s="80">
        <v>1</v>
      </c>
      <c r="G129" s="80">
        <v>1</v>
      </c>
      <c r="H129" s="80">
        <v>1</v>
      </c>
      <c r="I129" s="81">
        <v>1</v>
      </c>
      <c r="K129" s="79">
        <v>1</v>
      </c>
      <c r="L129" s="80">
        <v>0.30901699437494745</v>
      </c>
      <c r="M129" s="80">
        <v>-0.80901699437494734</v>
      </c>
      <c r="N129" s="80">
        <v>-0.80901699437494745</v>
      </c>
      <c r="O129" s="81">
        <v>0.30901699437494723</v>
      </c>
      <c r="Q129" s="79">
        <v>1</v>
      </c>
      <c r="R129" s="80">
        <v>-0.80901699437494734</v>
      </c>
      <c r="S129" s="80">
        <v>0.30901699437494723</v>
      </c>
      <c r="T129" s="80">
        <v>0.30901699437494773</v>
      </c>
      <c r="U129" s="81">
        <v>-0.80901699437494767</v>
      </c>
      <c r="AE129" s="87"/>
    </row>
    <row r="130" spans="5:31" ht="24" customHeight="1">
      <c r="E130" s="82">
        <v>1</v>
      </c>
      <c r="F130">
        <v>1</v>
      </c>
      <c r="G130">
        <v>1</v>
      </c>
      <c r="H130">
        <v>1</v>
      </c>
      <c r="I130" s="83">
        <v>1</v>
      </c>
      <c r="K130" s="82">
        <v>1</v>
      </c>
      <c r="L130">
        <v>0.30901699437494745</v>
      </c>
      <c r="M130">
        <v>-0.80901699437494734</v>
      </c>
      <c r="N130">
        <v>-0.80901699437494745</v>
      </c>
      <c r="O130" s="83">
        <v>0.30901699437494723</v>
      </c>
      <c r="Q130" s="82">
        <v>1</v>
      </c>
      <c r="R130">
        <v>-0.80901699437494734</v>
      </c>
      <c r="S130">
        <v>0.30901699437494723</v>
      </c>
      <c r="T130">
        <v>0.30901699437494773</v>
      </c>
      <c r="U130" s="83">
        <v>-0.80901699437494767</v>
      </c>
      <c r="AE130" s="87"/>
    </row>
    <row r="131" spans="5:31" ht="24" customHeight="1">
      <c r="E131" s="82">
        <v>1</v>
      </c>
      <c r="F131">
        <v>1</v>
      </c>
      <c r="G131">
        <v>1</v>
      </c>
      <c r="H131">
        <v>1</v>
      </c>
      <c r="I131" s="83">
        <v>1</v>
      </c>
      <c r="K131" s="82">
        <v>1</v>
      </c>
      <c r="L131">
        <v>0.30901699437494745</v>
      </c>
      <c r="M131">
        <v>-0.80901699437494734</v>
      </c>
      <c r="N131">
        <v>-0.80901699437494745</v>
      </c>
      <c r="O131" s="83">
        <v>0.30901699437494723</v>
      </c>
      <c r="Q131" s="82">
        <v>1</v>
      </c>
      <c r="R131">
        <v>-0.80901699437494734</v>
      </c>
      <c r="S131">
        <v>0.30901699437494723</v>
      </c>
      <c r="T131">
        <v>0.30901699437494773</v>
      </c>
      <c r="U131" s="83">
        <v>-0.80901699437494767</v>
      </c>
      <c r="AE131" s="87"/>
    </row>
    <row r="132" spans="5:31" ht="24" customHeight="1">
      <c r="E132" s="82">
        <v>1</v>
      </c>
      <c r="F132">
        <v>1</v>
      </c>
      <c r="G132">
        <v>1</v>
      </c>
      <c r="H132">
        <v>1</v>
      </c>
      <c r="I132" s="83">
        <v>1</v>
      </c>
      <c r="K132" s="82">
        <v>1</v>
      </c>
      <c r="L132">
        <v>0.30901699437494745</v>
      </c>
      <c r="M132">
        <v>-0.80901699437494734</v>
      </c>
      <c r="N132">
        <v>-0.80901699437494745</v>
      </c>
      <c r="O132" s="83">
        <v>0.30901699437494723</v>
      </c>
      <c r="Q132" s="82">
        <v>1</v>
      </c>
      <c r="R132">
        <v>-0.80901699437494734</v>
      </c>
      <c r="S132">
        <v>0.30901699437494723</v>
      </c>
      <c r="T132">
        <v>0.30901699437494773</v>
      </c>
      <c r="U132" s="83">
        <v>-0.80901699437494767</v>
      </c>
      <c r="AE132" s="87"/>
    </row>
    <row r="133" spans="5:31" ht="24" customHeight="1">
      <c r="E133" s="84">
        <v>1</v>
      </c>
      <c r="F133" s="85">
        <v>1</v>
      </c>
      <c r="G133" s="85">
        <v>1</v>
      </c>
      <c r="H133" s="85">
        <v>1</v>
      </c>
      <c r="I133" s="86">
        <v>1</v>
      </c>
      <c r="K133" s="84">
        <v>1</v>
      </c>
      <c r="L133" s="85">
        <v>0.30901699437494745</v>
      </c>
      <c r="M133" s="85">
        <v>-0.80901699437494734</v>
      </c>
      <c r="N133" s="85">
        <v>-0.80901699437494745</v>
      </c>
      <c r="O133" s="86">
        <v>0.30901699437494723</v>
      </c>
      <c r="Q133" s="84">
        <v>1</v>
      </c>
      <c r="R133" s="85">
        <v>-0.80901699437494734</v>
      </c>
      <c r="S133" s="85">
        <v>0.30901699437494723</v>
      </c>
      <c r="T133" s="85">
        <v>0.30901699437494773</v>
      </c>
      <c r="U133" s="86">
        <v>-0.80901699437494767</v>
      </c>
      <c r="AE133" s="87"/>
    </row>
    <row r="134" spans="5:31" ht="24" customHeight="1">
      <c r="AE134" s="87"/>
    </row>
    <row r="135" spans="5:31" ht="24" customHeight="1">
      <c r="E135" s="79">
        <v>1</v>
      </c>
      <c r="F135" s="80">
        <v>1</v>
      </c>
      <c r="G135" s="80">
        <v>1</v>
      </c>
      <c r="H135" s="80">
        <v>1</v>
      </c>
      <c r="I135" s="81">
        <v>1</v>
      </c>
      <c r="K135" s="79">
        <v>1</v>
      </c>
      <c r="L135" s="80">
        <v>0.30901699437494745</v>
      </c>
      <c r="M135" s="80">
        <v>-0.80901699437494734</v>
      </c>
      <c r="N135" s="80">
        <v>-0.80901699437494745</v>
      </c>
      <c r="O135" s="81">
        <v>0.30901699437494723</v>
      </c>
      <c r="Q135" s="79">
        <v>1</v>
      </c>
      <c r="R135" s="80">
        <v>-0.80901699437494734</v>
      </c>
      <c r="S135" s="80">
        <v>0.30901699437494723</v>
      </c>
      <c r="T135" s="80">
        <v>0.30901699437494773</v>
      </c>
      <c r="U135" s="81">
        <v>-0.80901699437494767</v>
      </c>
      <c r="AE135" s="87"/>
    </row>
    <row r="136" spans="5:31" ht="24" customHeight="1">
      <c r="E136" s="82">
        <v>0.30901699437494745</v>
      </c>
      <c r="F136">
        <v>0.30901699437494745</v>
      </c>
      <c r="G136">
        <v>0.30901699437494745</v>
      </c>
      <c r="H136">
        <v>0.30901699437494745</v>
      </c>
      <c r="I136" s="83">
        <v>0.30901699437494745</v>
      </c>
      <c r="K136" s="82">
        <v>0.30901699437494745</v>
      </c>
      <c r="L136">
        <v>-0.80901699437494734</v>
      </c>
      <c r="M136">
        <v>-0.80901699437494723</v>
      </c>
      <c r="N136">
        <v>0.30901699437494723</v>
      </c>
      <c r="O136" s="83">
        <v>1</v>
      </c>
      <c r="Q136" s="82">
        <v>0.30901699437494745</v>
      </c>
      <c r="R136">
        <v>-0.80901699437494723</v>
      </c>
      <c r="S136">
        <v>1</v>
      </c>
      <c r="T136">
        <v>-0.80901699437494723</v>
      </c>
      <c r="U136" s="83">
        <v>0.30901699437494701</v>
      </c>
      <c r="AE136" s="87"/>
    </row>
    <row r="137" spans="5:31" ht="24" customHeight="1">
      <c r="E137" s="82">
        <v>-0.80901699437494734</v>
      </c>
      <c r="F137">
        <v>-0.80901699437494734</v>
      </c>
      <c r="G137">
        <v>-0.80901699437494734</v>
      </c>
      <c r="H137">
        <v>-0.80901699437494734</v>
      </c>
      <c r="I137" s="83">
        <v>-0.80901699437494734</v>
      </c>
      <c r="K137" s="82">
        <v>-0.80901699437494734</v>
      </c>
      <c r="L137">
        <v>-0.80901699437494723</v>
      </c>
      <c r="M137">
        <v>0.30901699437494723</v>
      </c>
      <c r="N137">
        <v>1</v>
      </c>
      <c r="O137" s="83">
        <v>0.30901699437494684</v>
      </c>
      <c r="Q137" s="82">
        <v>-0.80901699437494734</v>
      </c>
      <c r="R137">
        <v>0.30901699437494723</v>
      </c>
      <c r="S137">
        <v>0.30901699437494684</v>
      </c>
      <c r="T137">
        <v>-0.80901699437494767</v>
      </c>
      <c r="U137" s="83">
        <v>1</v>
      </c>
      <c r="AE137" s="87"/>
    </row>
    <row r="138" spans="5:31" ht="24" customHeight="1">
      <c r="E138" s="82">
        <v>-0.80901699437494745</v>
      </c>
      <c r="F138">
        <v>-0.80901699437494745</v>
      </c>
      <c r="G138">
        <v>-0.80901699437494745</v>
      </c>
      <c r="H138">
        <v>-0.80901699437494745</v>
      </c>
      <c r="I138" s="83">
        <v>-0.80901699437494745</v>
      </c>
      <c r="K138" s="82">
        <v>-0.80901699437494745</v>
      </c>
      <c r="L138">
        <v>0.30901699437494723</v>
      </c>
      <c r="M138">
        <v>1</v>
      </c>
      <c r="N138">
        <v>0.30901699437494773</v>
      </c>
      <c r="O138" s="83">
        <v>-0.80901699437494723</v>
      </c>
      <c r="Q138" s="82">
        <v>-0.80901699437494745</v>
      </c>
      <c r="R138">
        <v>1</v>
      </c>
      <c r="S138">
        <v>-0.80901699437494723</v>
      </c>
      <c r="T138">
        <v>0.30901699437494534</v>
      </c>
      <c r="U138" s="83">
        <v>0.30901699437494623</v>
      </c>
      <c r="AE138" s="87"/>
    </row>
    <row r="139" spans="5:31" ht="24" customHeight="1">
      <c r="E139" s="84">
        <v>0.30901699437494723</v>
      </c>
      <c r="F139" s="85">
        <v>0.30901699437494723</v>
      </c>
      <c r="G139" s="85">
        <v>0.30901699437494723</v>
      </c>
      <c r="H139" s="85">
        <v>0.30901699437494723</v>
      </c>
      <c r="I139" s="86">
        <v>0.30901699437494723</v>
      </c>
      <c r="K139" s="84">
        <v>0.30901699437494723</v>
      </c>
      <c r="L139" s="85">
        <v>1</v>
      </c>
      <c r="M139" s="85">
        <v>0.30901699437494684</v>
      </c>
      <c r="N139" s="85">
        <v>-0.80901699437494723</v>
      </c>
      <c r="O139" s="86">
        <v>-0.80901699437494767</v>
      </c>
      <c r="Q139" s="84">
        <v>0.30901699437494723</v>
      </c>
      <c r="R139" s="85">
        <v>0.30901699437494684</v>
      </c>
      <c r="S139" s="85">
        <v>-0.80901699437494767</v>
      </c>
      <c r="T139" s="85">
        <v>1</v>
      </c>
      <c r="U139" s="86">
        <v>-0.80901699437494812</v>
      </c>
      <c r="AE139" s="87"/>
    </row>
    <row r="140" spans="5:31" ht="24" customHeight="1">
      <c r="AE140" s="87"/>
    </row>
    <row r="141" spans="5:31" ht="24" customHeight="1">
      <c r="E141" s="79">
        <v>1</v>
      </c>
      <c r="F141" s="80">
        <v>1</v>
      </c>
      <c r="G141" s="80">
        <v>1</v>
      </c>
      <c r="H141" s="80">
        <v>1</v>
      </c>
      <c r="I141" s="81">
        <v>1</v>
      </c>
      <c r="K141" s="79">
        <v>1</v>
      </c>
      <c r="L141" s="80">
        <v>0.30901699437494745</v>
      </c>
      <c r="M141" s="80">
        <v>-0.80901699437494734</v>
      </c>
      <c r="N141" s="80">
        <v>-0.80901699437494745</v>
      </c>
      <c r="O141" s="81">
        <v>0.30901699437494723</v>
      </c>
      <c r="Q141" s="79">
        <v>1</v>
      </c>
      <c r="R141" s="80">
        <v>-0.80901699437494734</v>
      </c>
      <c r="S141" s="80">
        <v>0.30901699437494723</v>
      </c>
      <c r="T141" s="80">
        <v>0.30901699437494773</v>
      </c>
      <c r="U141" s="81">
        <v>-0.80901699437494767</v>
      </c>
      <c r="AE141" s="87"/>
    </row>
    <row r="142" spans="5:31" ht="24" customHeight="1">
      <c r="E142" s="82">
        <v>-0.80901699437494734</v>
      </c>
      <c r="F142">
        <v>-0.80901699437494734</v>
      </c>
      <c r="G142">
        <v>-0.80901699437494734</v>
      </c>
      <c r="H142">
        <v>-0.80901699437494734</v>
      </c>
      <c r="I142" s="83">
        <v>-0.80901699437494734</v>
      </c>
      <c r="K142" s="82">
        <v>-0.80901699437494734</v>
      </c>
      <c r="L142">
        <v>-0.80901699437494723</v>
      </c>
      <c r="M142">
        <v>0.30901699437494723</v>
      </c>
      <c r="N142">
        <v>1</v>
      </c>
      <c r="O142" s="83">
        <v>0.30901699437494684</v>
      </c>
      <c r="Q142" s="82">
        <v>-0.80901699437494734</v>
      </c>
      <c r="R142">
        <v>0.30901699437494723</v>
      </c>
      <c r="S142">
        <v>0.30901699437494684</v>
      </c>
      <c r="T142">
        <v>-0.80901699437494767</v>
      </c>
      <c r="U142" s="83">
        <v>1</v>
      </c>
      <c r="AE142" s="87"/>
    </row>
    <row r="143" spans="5:31" ht="24" customHeight="1">
      <c r="E143" s="82">
        <v>0.30901699437494723</v>
      </c>
      <c r="F143">
        <v>0.30901699437494723</v>
      </c>
      <c r="G143">
        <v>0.30901699437494723</v>
      </c>
      <c r="H143">
        <v>0.30901699437494723</v>
      </c>
      <c r="I143" s="83">
        <v>0.30901699437494723</v>
      </c>
      <c r="K143" s="82">
        <v>0.30901699437494723</v>
      </c>
      <c r="L143">
        <v>1</v>
      </c>
      <c r="M143">
        <v>0.30901699437494684</v>
      </c>
      <c r="N143">
        <v>-0.80901699437494723</v>
      </c>
      <c r="O143" s="83">
        <v>-0.80901699437494767</v>
      </c>
      <c r="Q143" s="82">
        <v>0.30901699437494723</v>
      </c>
      <c r="R143">
        <v>0.30901699437494684</v>
      </c>
      <c r="S143">
        <v>-0.80901699437494767</v>
      </c>
      <c r="T143">
        <v>1</v>
      </c>
      <c r="U143" s="83">
        <v>-0.80901699437494812</v>
      </c>
      <c r="AE143" s="87"/>
    </row>
    <row r="144" spans="5:31" ht="24" customHeight="1">
      <c r="E144" s="82">
        <v>0.30901699437494773</v>
      </c>
      <c r="F144">
        <v>0.30901699437494773</v>
      </c>
      <c r="G144">
        <v>0.30901699437494773</v>
      </c>
      <c r="H144">
        <v>0.30901699437494773</v>
      </c>
      <c r="I144" s="83">
        <v>0.30901699437494773</v>
      </c>
      <c r="K144" s="82">
        <v>0.30901699437494773</v>
      </c>
      <c r="L144">
        <v>-0.80901699437494723</v>
      </c>
      <c r="M144">
        <v>-0.80901699437494767</v>
      </c>
      <c r="N144">
        <v>0.30901699437494534</v>
      </c>
      <c r="O144" s="83">
        <v>1</v>
      </c>
      <c r="Q144" s="82">
        <v>0.30901699437494773</v>
      </c>
      <c r="R144">
        <v>-0.80901699437494767</v>
      </c>
      <c r="S144">
        <v>1</v>
      </c>
      <c r="T144">
        <v>-0.80901699437494712</v>
      </c>
      <c r="U144" s="83">
        <v>0.30901699437494679</v>
      </c>
      <c r="AE144" s="87"/>
    </row>
    <row r="145" spans="5:33" ht="24" customHeight="1">
      <c r="E145" s="84">
        <v>-0.80901699437494767</v>
      </c>
      <c r="F145" s="85">
        <v>-0.80901699437494767</v>
      </c>
      <c r="G145" s="85">
        <v>-0.80901699437494767</v>
      </c>
      <c r="H145" s="85">
        <v>-0.80901699437494767</v>
      </c>
      <c r="I145" s="86">
        <v>-0.80901699437494767</v>
      </c>
      <c r="K145" s="84">
        <v>-0.80901699437494767</v>
      </c>
      <c r="L145" s="85">
        <v>0.30901699437494701</v>
      </c>
      <c r="M145" s="85">
        <v>1</v>
      </c>
      <c r="N145" s="85">
        <v>0.30901699437494623</v>
      </c>
      <c r="O145" s="86">
        <v>-0.80901699437494812</v>
      </c>
      <c r="Q145" s="84">
        <v>-0.80901699437494767</v>
      </c>
      <c r="R145" s="85">
        <v>1</v>
      </c>
      <c r="S145" s="85">
        <v>-0.80901699437494812</v>
      </c>
      <c r="T145" s="85">
        <v>0.30901699437494679</v>
      </c>
      <c r="U145" s="86">
        <v>0.30901699437494817</v>
      </c>
      <c r="AE145" s="87"/>
    </row>
    <row r="146" spans="5:33" ht="24" customHeight="1">
      <c r="AE146" s="38"/>
    </row>
    <row r="148" spans="5:33" ht="24" customHeight="1">
      <c r="E148" s="35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36"/>
      <c r="AE148" s="37"/>
    </row>
    <row r="149" spans="5:33" ht="24" customHeight="1">
      <c r="E149" s="35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36"/>
      <c r="AE149" s="87"/>
    </row>
    <row r="150" spans="5:33" ht="24" customHeight="1">
      <c r="E150" s="35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36"/>
      <c r="AE150" s="87"/>
    </row>
    <row r="151" spans="5:33" ht="24" customHeight="1">
      <c r="E151" s="35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36"/>
      <c r="AE151" s="87"/>
    </row>
    <row r="152" spans="5:33" ht="24" customHeight="1">
      <c r="E152" s="35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36"/>
      <c r="AE152" s="87"/>
    </row>
    <row r="153" spans="5:33" ht="24" customHeight="1">
      <c r="E153" s="35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36"/>
      <c r="AE153" s="87"/>
    </row>
    <row r="154" spans="5:33" ht="24" customHeight="1">
      <c r="E154" s="35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36"/>
      <c r="AE154" s="87"/>
    </row>
    <row r="155" spans="5:33" ht="24" customHeight="1">
      <c r="E155" s="35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36"/>
      <c r="AE155" s="87"/>
    </row>
    <row r="156" spans="5:33" ht="24" customHeight="1">
      <c r="E156" s="35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36"/>
      <c r="AE156" s="38"/>
    </row>
    <row r="159" spans="5:33" ht="24" customHeight="1">
      <c r="AE159" s="79"/>
      <c r="AF159" s="80"/>
      <c r="AG159" s="81"/>
    </row>
    <row r="160" spans="5:33" ht="24" customHeight="1">
      <c r="AE160" s="82"/>
      <c r="AG160" s="83"/>
    </row>
    <row r="161" spans="28:33" ht="24" customHeight="1">
      <c r="AE161" s="84"/>
      <c r="AF161" s="85"/>
      <c r="AG161" s="86"/>
    </row>
    <row r="162" spans="28:33" ht="24" customHeight="1">
      <c r="AC162" t="s">
        <v>77</v>
      </c>
    </row>
    <row r="163" spans="28:33" ht="24" customHeight="1">
      <c r="AE163" t="s">
        <v>21</v>
      </c>
    </row>
    <row r="164" spans="28:33" ht="24" customHeight="1">
      <c r="AB164" t="s">
        <v>78</v>
      </c>
      <c r="AD164" t="s">
        <v>22</v>
      </c>
      <c r="AE164" s="79"/>
      <c r="AF164" s="80"/>
      <c r="AG164" s="81"/>
    </row>
    <row r="165" spans="28:33" ht="24" customHeight="1">
      <c r="AE165" s="82"/>
      <c r="AG165" s="83"/>
    </row>
    <row r="166" spans="28:33" ht="24" customHeight="1">
      <c r="AE166" s="84"/>
      <c r="AF166" s="85"/>
      <c r="AG166" s="86"/>
    </row>
    <row r="169" spans="28:33" ht="24" customHeight="1">
      <c r="AE169" s="37"/>
    </row>
    <row r="170" spans="28:33" ht="24" customHeight="1">
      <c r="AE170" s="87"/>
    </row>
    <row r="171" spans="28:33" ht="24" customHeight="1">
      <c r="AE171" s="87"/>
    </row>
    <row r="172" spans="28:33" ht="24" customHeight="1">
      <c r="AE172" s="87"/>
    </row>
    <row r="173" spans="28:33" ht="24" customHeight="1">
      <c r="AE173" s="87"/>
    </row>
    <row r="174" spans="28:33" ht="24" customHeight="1">
      <c r="AE174" s="87"/>
    </row>
    <row r="175" spans="28:33" ht="24" customHeight="1">
      <c r="AE175" s="87"/>
    </row>
    <row r="176" spans="28:33" ht="24" customHeight="1">
      <c r="AE176" s="87"/>
    </row>
    <row r="177" spans="21:31" ht="24" customHeight="1">
      <c r="AE177" s="38"/>
    </row>
    <row r="179" spans="21:31" ht="24" customHeight="1">
      <c r="U179" s="37"/>
      <c r="V179" s="37"/>
      <c r="W179" s="37"/>
      <c r="X179" s="37"/>
      <c r="Y179" s="37"/>
      <c r="Z179" s="37"/>
      <c r="AA179" s="37"/>
      <c r="AB179" s="37"/>
      <c r="AC179" s="37"/>
      <c r="AE179" s="37"/>
    </row>
    <row r="180" spans="21:31" ht="24" customHeight="1">
      <c r="U180" s="87"/>
      <c r="V180" s="87"/>
      <c r="W180" s="87"/>
      <c r="X180" s="87"/>
      <c r="Y180" s="87"/>
      <c r="Z180" s="87"/>
      <c r="AA180" s="87"/>
      <c r="AB180" s="87"/>
      <c r="AC180" s="87"/>
      <c r="AE180" s="87"/>
    </row>
    <row r="181" spans="21:31" ht="24" customHeight="1">
      <c r="U181" s="87"/>
      <c r="V181" s="87"/>
      <c r="W181" s="87"/>
      <c r="X181" s="87"/>
      <c r="Y181" s="87"/>
      <c r="Z181" s="87"/>
      <c r="AA181" s="87"/>
      <c r="AB181" s="87"/>
      <c r="AC181" s="87"/>
      <c r="AE181" s="87"/>
    </row>
    <row r="182" spans="21:31" ht="24" customHeight="1">
      <c r="U182" s="87"/>
      <c r="V182" s="87"/>
      <c r="W182" s="87"/>
      <c r="X182" s="87"/>
      <c r="Y182" s="87"/>
      <c r="Z182" s="87"/>
      <c r="AA182" s="87"/>
      <c r="AB182" s="87"/>
      <c r="AC182" s="87"/>
      <c r="AE182" s="87"/>
    </row>
    <row r="183" spans="21:31" ht="24" customHeight="1">
      <c r="U183" s="87"/>
      <c r="V183" s="87"/>
      <c r="W183" s="87"/>
      <c r="X183" s="87"/>
      <c r="Y183" s="87"/>
      <c r="Z183" s="87"/>
      <c r="AA183" s="87"/>
      <c r="AB183" s="87"/>
      <c r="AC183" s="87"/>
      <c r="AE183" s="87"/>
    </row>
    <row r="184" spans="21:31" ht="24" customHeight="1">
      <c r="U184" s="87"/>
      <c r="V184" s="87"/>
      <c r="W184" s="87"/>
      <c r="X184" s="87"/>
      <c r="Y184" s="87"/>
      <c r="Z184" s="87"/>
      <c r="AA184" s="87"/>
      <c r="AB184" s="87"/>
      <c r="AC184" s="87"/>
      <c r="AE184" s="87"/>
    </row>
    <row r="185" spans="21:31" ht="24" customHeight="1">
      <c r="U185" s="87"/>
      <c r="V185" s="87"/>
      <c r="W185" s="87"/>
      <c r="X185" s="87"/>
      <c r="Y185" s="87"/>
      <c r="Z185" s="87"/>
      <c r="AA185" s="87"/>
      <c r="AB185" s="87"/>
      <c r="AC185" s="87"/>
      <c r="AE185" s="87"/>
    </row>
    <row r="186" spans="21:31" ht="24" customHeight="1">
      <c r="U186" s="87"/>
      <c r="V186" s="87"/>
      <c r="W186" s="87"/>
      <c r="X186" s="87"/>
      <c r="Y186" s="87"/>
      <c r="Z186" s="87"/>
      <c r="AA186" s="87"/>
      <c r="AB186" s="87"/>
      <c r="AC186" s="87"/>
      <c r="AE186" s="87"/>
    </row>
    <row r="187" spans="21:31" ht="24" customHeight="1">
      <c r="U187" s="87"/>
      <c r="V187" s="87"/>
      <c r="W187" s="87"/>
      <c r="X187" s="87"/>
      <c r="Y187" s="87"/>
      <c r="Z187" s="87"/>
      <c r="AA187" s="87"/>
      <c r="AB187" s="87"/>
      <c r="AC187" s="87"/>
      <c r="AE187" s="87"/>
    </row>
    <row r="188" spans="21:31" ht="24" customHeight="1">
      <c r="U188" s="87"/>
      <c r="V188" s="87"/>
      <c r="W188" s="87"/>
      <c r="X188" s="87"/>
      <c r="Y188" s="87"/>
      <c r="Z188" s="87"/>
      <c r="AA188" s="87"/>
      <c r="AB188" s="87"/>
      <c r="AC188" s="87"/>
      <c r="AE188" s="87"/>
    </row>
    <row r="189" spans="21:31" ht="24" customHeight="1">
      <c r="U189" s="87"/>
      <c r="V189" s="87"/>
      <c r="W189" s="87"/>
      <c r="X189" s="87"/>
      <c r="Y189" s="87"/>
      <c r="Z189" s="87"/>
      <c r="AA189" s="87"/>
      <c r="AB189" s="87"/>
      <c r="AC189" s="87"/>
      <c r="AE189" s="87"/>
    </row>
    <row r="190" spans="21:31" ht="24" customHeight="1">
      <c r="U190" s="87"/>
      <c r="V190" s="87"/>
      <c r="W190" s="87"/>
      <c r="X190" s="87"/>
      <c r="Y190" s="87"/>
      <c r="Z190" s="87"/>
      <c r="AA190" s="87"/>
      <c r="AB190" s="87"/>
      <c r="AC190" s="87"/>
      <c r="AE190" s="87"/>
    </row>
    <row r="191" spans="21:31" ht="24" customHeight="1">
      <c r="U191" s="87"/>
      <c r="V191" s="87"/>
      <c r="W191" s="87"/>
      <c r="X191" s="87"/>
      <c r="Y191" s="87"/>
      <c r="Z191" s="87"/>
      <c r="AA191" s="87"/>
      <c r="AB191" s="87"/>
      <c r="AC191" s="87"/>
      <c r="AE191" s="87"/>
    </row>
    <row r="192" spans="21:31" ht="24" customHeight="1">
      <c r="U192" s="87"/>
      <c r="V192" s="87"/>
      <c r="W192" s="87"/>
      <c r="X192" s="87"/>
      <c r="Y192" s="87"/>
      <c r="Z192" s="87"/>
      <c r="AA192" s="87"/>
      <c r="AB192" s="87"/>
      <c r="AC192" s="87"/>
      <c r="AE192" s="87"/>
    </row>
    <row r="193" spans="21:35" ht="24" customHeight="1">
      <c r="U193" s="87"/>
      <c r="V193" s="87"/>
      <c r="W193" s="87"/>
      <c r="X193" s="87"/>
      <c r="Y193" s="87"/>
      <c r="Z193" s="87"/>
      <c r="AA193" s="87"/>
      <c r="AB193" s="87"/>
      <c r="AC193" s="87"/>
      <c r="AE193" s="87"/>
    </row>
    <row r="194" spans="21:35" ht="24" customHeight="1">
      <c r="U194" s="87"/>
      <c r="V194" s="87"/>
      <c r="W194" s="87"/>
      <c r="X194" s="87"/>
      <c r="Y194" s="87"/>
      <c r="Z194" s="87"/>
      <c r="AA194" s="87"/>
      <c r="AB194" s="87"/>
      <c r="AC194" s="87"/>
      <c r="AE194" s="87"/>
    </row>
    <row r="195" spans="21:35" ht="24" customHeight="1">
      <c r="U195" s="87"/>
      <c r="V195" s="87"/>
      <c r="W195" s="87"/>
      <c r="X195" s="87"/>
      <c r="Y195" s="87"/>
      <c r="Z195" s="87"/>
      <c r="AA195" s="87"/>
      <c r="AB195" s="87"/>
      <c r="AC195" s="87"/>
      <c r="AE195" s="87"/>
    </row>
    <row r="196" spans="21:35" ht="24" customHeight="1">
      <c r="U196" s="87"/>
      <c r="V196" s="87"/>
      <c r="W196" s="87"/>
      <c r="X196" s="87"/>
      <c r="Y196" s="87"/>
      <c r="Z196" s="87"/>
      <c r="AA196" s="87"/>
      <c r="AB196" s="87"/>
      <c r="AC196" s="87"/>
      <c r="AE196" s="87"/>
    </row>
    <row r="197" spans="21:35" ht="24" customHeight="1">
      <c r="U197" s="87"/>
      <c r="V197" s="87"/>
      <c r="W197" s="87"/>
      <c r="X197" s="87"/>
      <c r="Y197" s="87"/>
      <c r="Z197" s="87"/>
      <c r="AA197" s="87"/>
      <c r="AB197" s="87"/>
      <c r="AC197" s="87"/>
      <c r="AE197" s="87"/>
    </row>
    <row r="198" spans="21:35" ht="24" customHeight="1">
      <c r="U198" s="87"/>
      <c r="V198" s="87"/>
      <c r="W198" s="87"/>
      <c r="X198" s="87"/>
      <c r="Y198" s="87"/>
      <c r="Z198" s="87"/>
      <c r="AA198" s="87"/>
      <c r="AB198" s="87"/>
      <c r="AC198" s="87"/>
      <c r="AE198" s="87"/>
    </row>
    <row r="199" spans="21:35" ht="24" customHeight="1">
      <c r="U199" s="87"/>
      <c r="V199" s="87"/>
      <c r="W199" s="87"/>
      <c r="X199" s="87"/>
      <c r="Y199" s="87"/>
      <c r="Z199" s="87"/>
      <c r="AA199" s="87"/>
      <c r="AB199" s="87"/>
      <c r="AC199" s="87"/>
      <c r="AE199" s="87"/>
    </row>
    <row r="200" spans="21:35" ht="24" customHeight="1">
      <c r="U200" s="87"/>
      <c r="V200" s="87"/>
      <c r="W200" s="87"/>
      <c r="X200" s="87"/>
      <c r="Y200" s="87"/>
      <c r="Z200" s="87"/>
      <c r="AA200" s="87"/>
      <c r="AB200" s="87"/>
      <c r="AC200" s="87"/>
      <c r="AE200" s="87"/>
    </row>
    <row r="201" spans="21:35" ht="24" customHeight="1">
      <c r="U201" s="87"/>
      <c r="V201" s="87"/>
      <c r="W201" s="87"/>
      <c r="X201" s="87"/>
      <c r="Y201" s="87"/>
      <c r="Z201" s="87"/>
      <c r="AA201" s="87"/>
      <c r="AB201" s="87"/>
      <c r="AC201" s="87"/>
      <c r="AE201" s="87"/>
    </row>
    <row r="202" spans="21:35" ht="24" customHeight="1">
      <c r="U202" s="87"/>
      <c r="V202" s="87"/>
      <c r="W202" s="87"/>
      <c r="X202" s="87"/>
      <c r="Y202" s="87"/>
      <c r="Z202" s="87"/>
      <c r="AA202" s="87"/>
      <c r="AB202" s="87"/>
      <c r="AC202" s="87"/>
      <c r="AE202" s="87"/>
    </row>
    <row r="203" spans="21:35" ht="24" customHeight="1">
      <c r="U203" s="38"/>
      <c r="V203" s="38"/>
      <c r="W203" s="38"/>
      <c r="X203" s="38"/>
      <c r="Y203" s="38"/>
      <c r="Z203" s="38"/>
      <c r="AA203" s="38"/>
      <c r="AB203" s="38"/>
      <c r="AC203" s="38"/>
      <c r="AE203" s="38"/>
    </row>
    <row r="205" spans="21:35" ht="24" customHeight="1">
      <c r="AB205" t="s">
        <v>72</v>
      </c>
    </row>
    <row r="206" spans="21:35" ht="24" customHeight="1">
      <c r="AB206" t="s">
        <v>79</v>
      </c>
      <c r="AE206" s="79"/>
      <c r="AF206" s="80"/>
      <c r="AG206" s="80"/>
      <c r="AH206" s="80"/>
      <c r="AI206" s="81"/>
    </row>
    <row r="207" spans="21:35" ht="24" customHeight="1">
      <c r="AE207" s="82"/>
      <c r="AI207" s="83"/>
    </row>
    <row r="208" spans="21:35" ht="24" customHeight="1">
      <c r="AE208" s="82"/>
      <c r="AI208" s="83"/>
    </row>
    <row r="209" spans="1:35" ht="24" customHeight="1">
      <c r="AE209" s="82"/>
      <c r="AI209" s="83"/>
    </row>
    <row r="210" spans="1:35" ht="24" customHeight="1">
      <c r="AE210" s="84"/>
      <c r="AF210" s="85"/>
      <c r="AG210" s="85"/>
      <c r="AH210" s="85"/>
      <c r="AI210" s="86"/>
    </row>
    <row r="212" spans="1:35" s="51" customFormat="1" ht="24" customHeight="1"/>
    <row r="213" spans="1:35" ht="24" customHeight="1">
      <c r="C213" s="1">
        <v>1</v>
      </c>
      <c r="D213" s="1">
        <v>2</v>
      </c>
      <c r="E213" s="1">
        <v>3</v>
      </c>
      <c r="F213" s="1">
        <v>4</v>
      </c>
      <c r="G213" s="1">
        <v>5</v>
      </c>
      <c r="H213" s="1">
        <v>6</v>
      </c>
      <c r="I213" s="1">
        <v>7</v>
      </c>
      <c r="J213" s="1">
        <v>8</v>
      </c>
      <c r="K213" s="1">
        <v>9</v>
      </c>
      <c r="L213" s="1">
        <v>10</v>
      </c>
    </row>
    <row r="214" spans="1:35" ht="24" customHeight="1">
      <c r="A214" s="50" t="s">
        <v>1</v>
      </c>
      <c r="B214" s="50"/>
      <c r="C214" s="49">
        <f>AE126</f>
        <v>0</v>
      </c>
      <c r="D214" s="49">
        <f>F149</f>
        <v>0</v>
      </c>
      <c r="E214" s="49">
        <f>AE152</f>
        <v>0</v>
      </c>
      <c r="F214" s="49">
        <f>AE159</f>
        <v>0</v>
      </c>
      <c r="G214" s="49">
        <f>AG165</f>
        <v>0</v>
      </c>
      <c r="H214" s="49">
        <f>AE171</f>
        <v>0</v>
      </c>
      <c r="I214" s="49">
        <f>Y183</f>
        <v>0</v>
      </c>
      <c r="J214" s="49">
        <f>AB199</f>
        <v>0</v>
      </c>
      <c r="K214" s="49">
        <f>AE187</f>
        <v>0</v>
      </c>
      <c r="L214" s="49">
        <f>AG208</f>
        <v>0</v>
      </c>
    </row>
    <row r="215" spans="1:35" ht="24" customHeight="1">
      <c r="A215" s="50" t="s">
        <v>2</v>
      </c>
      <c r="B215" s="50"/>
      <c r="C215" s="49">
        <v>-7.4270509831248432</v>
      </c>
      <c r="D215" s="49">
        <v>0.30901699437494745</v>
      </c>
      <c r="E215" s="49">
        <v>12.500000000000002</v>
      </c>
      <c r="F215" s="49">
        <v>-8.4376949871511897E-15</v>
      </c>
      <c r="G215" s="49">
        <v>2.0000000000000004</v>
      </c>
      <c r="H215" s="49">
        <v>2.0000000000000013</v>
      </c>
      <c r="I215" s="49">
        <v>0.30901699437494723</v>
      </c>
      <c r="J215" s="49">
        <v>-0.80901699437494767</v>
      </c>
      <c r="K215" s="49">
        <v>-3.1180339887498967</v>
      </c>
      <c r="L215" s="49">
        <v>-0.19098300562505466</v>
      </c>
    </row>
    <row r="216" spans="1:35" ht="24" customHeight="1">
      <c r="A216" s="50" t="s">
        <v>3</v>
      </c>
      <c r="C216" s="49" t="str">
        <f>IF(C214=C215,"Y","N")</f>
        <v>N</v>
      </c>
      <c r="D216" s="49" t="str">
        <f t="shared" ref="D216:L216" si="3">IF(D214=D215,"Y","N")</f>
        <v>N</v>
      </c>
      <c r="E216" s="49" t="str">
        <f t="shared" si="3"/>
        <v>N</v>
      </c>
      <c r="F216" s="49" t="str">
        <f t="shared" si="3"/>
        <v>N</v>
      </c>
      <c r="G216" s="49" t="str">
        <f t="shared" si="3"/>
        <v>N</v>
      </c>
      <c r="H216" s="49" t="str">
        <f t="shared" si="3"/>
        <v>N</v>
      </c>
      <c r="I216" s="49" t="str">
        <f t="shared" si="3"/>
        <v>N</v>
      </c>
      <c r="J216" s="49" t="str">
        <f t="shared" si="3"/>
        <v>N</v>
      </c>
      <c r="K216" s="49" t="str">
        <f t="shared" si="3"/>
        <v>N</v>
      </c>
      <c r="L216" s="49" t="str">
        <f t="shared" si="3"/>
        <v>N</v>
      </c>
    </row>
    <row r="217" spans="1:35" ht="24" customHeight="1">
      <c r="A217" s="50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35" ht="24" customHeight="1">
      <c r="A218" s="50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35" ht="24" customHeight="1">
      <c r="A219" s="50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35" ht="24" customHeight="1">
      <c r="A220" s="50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35" ht="24" customHeight="1">
      <c r="A221" s="50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35" ht="24" customHeight="1">
      <c r="A222" s="50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35" ht="24" customHeight="1">
      <c r="A223" s="50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5" spans="1:42" s="142" customFormat="1" ht="32.1">
      <c r="A225" s="142" t="s">
        <v>80</v>
      </c>
    </row>
    <row r="227" spans="1:42" ht="24" customHeight="1">
      <c r="F227" t="s">
        <v>81</v>
      </c>
      <c r="AA227" t="s">
        <v>82</v>
      </c>
    </row>
    <row r="228" spans="1:42" ht="24" customHeight="1">
      <c r="F228" s="1"/>
      <c r="G228" s="1"/>
      <c r="H228" s="1"/>
      <c r="I228" s="1"/>
      <c r="J228" s="1"/>
      <c r="N228" s="1" t="s">
        <v>83</v>
      </c>
      <c r="O228" s="7">
        <v>1</v>
      </c>
      <c r="Q228" s="1" t="s">
        <v>84</v>
      </c>
      <c r="R228" s="7">
        <v>2</v>
      </c>
      <c r="S228" s="1"/>
      <c r="T228" s="1" t="s">
        <v>85</v>
      </c>
      <c r="U228" s="7">
        <v>1</v>
      </c>
      <c r="W228" s="1" t="s">
        <v>86</v>
      </c>
      <c r="X228" s="7">
        <v>0</v>
      </c>
    </row>
    <row r="229" spans="1:42" ht="24" customHeight="1">
      <c r="F229" s="1"/>
      <c r="G229" s="1"/>
      <c r="H229" s="1"/>
      <c r="I229" s="1"/>
      <c r="J229" s="1"/>
      <c r="N229" s="1"/>
      <c r="O229" s="8">
        <v>2</v>
      </c>
      <c r="Q229" s="1"/>
      <c r="R229" s="8">
        <v>0</v>
      </c>
      <c r="S229" s="1"/>
      <c r="T229" s="1"/>
      <c r="U229" s="8">
        <v>3</v>
      </c>
      <c r="W229" s="1"/>
      <c r="X229" s="8">
        <v>1</v>
      </c>
    </row>
    <row r="230" spans="1:42" ht="24" customHeight="1">
      <c r="F230" s="1"/>
      <c r="G230" s="1"/>
      <c r="H230" s="1"/>
      <c r="I230" s="1"/>
      <c r="J230" s="1"/>
      <c r="N230" s="1"/>
      <c r="O230" s="9">
        <v>1</v>
      </c>
      <c r="Q230" s="1"/>
      <c r="R230" s="9">
        <v>1</v>
      </c>
      <c r="S230" s="1"/>
      <c r="T230" s="1"/>
      <c r="U230" s="9">
        <v>-1</v>
      </c>
      <c r="W230" s="1"/>
      <c r="X230" s="9">
        <v>3</v>
      </c>
    </row>
    <row r="231" spans="1:42" ht="24" customHeight="1">
      <c r="F231" s="1"/>
      <c r="G231" s="1"/>
      <c r="H231" s="1"/>
      <c r="I231" s="1"/>
      <c r="J231" s="1"/>
      <c r="N231" s="52" t="s">
        <v>87</v>
      </c>
      <c r="O231" s="14">
        <v>0</v>
      </c>
      <c r="Q231" s="52" t="s">
        <v>88</v>
      </c>
      <c r="R231" s="14"/>
      <c r="T231" s="52" t="s">
        <v>89</v>
      </c>
      <c r="U231" s="14"/>
      <c r="W231" s="52" t="s">
        <v>90</v>
      </c>
      <c r="X231" s="14"/>
      <c r="AF231" s="52" t="s">
        <v>87</v>
      </c>
      <c r="AG231" s="14"/>
      <c r="AI231" s="52" t="s">
        <v>88</v>
      </c>
      <c r="AJ231" s="14"/>
      <c r="AL231" s="52" t="s">
        <v>89</v>
      </c>
      <c r="AM231" s="14"/>
      <c r="AO231" s="52" t="s">
        <v>90</v>
      </c>
      <c r="AP231" s="14"/>
    </row>
    <row r="232" spans="1:42" ht="24" customHeight="1">
      <c r="O232" s="24">
        <v>0</v>
      </c>
      <c r="R232" s="24"/>
      <c r="U232" s="24"/>
      <c r="X232" s="24"/>
      <c r="AG232" s="24"/>
      <c r="AJ232" s="24"/>
      <c r="AM232" s="24"/>
      <c r="AP232" s="24"/>
    </row>
    <row r="233" spans="1:42" ht="24" customHeight="1">
      <c r="O233" s="24">
        <v>0</v>
      </c>
      <c r="R233" s="24"/>
      <c r="U233" s="24"/>
      <c r="X233" s="24"/>
      <c r="AG233" s="15"/>
      <c r="AI233" s="1"/>
      <c r="AJ233" s="15"/>
      <c r="AL233" s="1"/>
      <c r="AM233" s="15"/>
      <c r="AO233" s="1"/>
      <c r="AP233" s="15"/>
    </row>
    <row r="234" spans="1:42" ht="24" customHeight="1">
      <c r="N234" s="1"/>
      <c r="O234" s="15">
        <v>0</v>
      </c>
      <c r="Q234" s="1"/>
      <c r="R234" s="15"/>
      <c r="T234" s="1"/>
      <c r="U234" s="15"/>
      <c r="W234" s="1"/>
      <c r="X234" s="15"/>
      <c r="AF234" s="1"/>
      <c r="AG234" s="1">
        <v>1</v>
      </c>
      <c r="AJ234" s="1">
        <v>1</v>
      </c>
      <c r="AM234" s="1">
        <v>1</v>
      </c>
      <c r="AP234" s="1">
        <v>1</v>
      </c>
    </row>
    <row r="235" spans="1:42" ht="24" customHeight="1">
      <c r="O235" s="1">
        <v>1</v>
      </c>
      <c r="R235" s="1">
        <v>1</v>
      </c>
      <c r="U235" s="1">
        <v>1</v>
      </c>
      <c r="X235" s="1">
        <v>1</v>
      </c>
    </row>
    <row r="237" spans="1:42" ht="24" customHeight="1">
      <c r="F237" s="1" t="s">
        <v>91</v>
      </c>
      <c r="G237" s="1"/>
      <c r="H237" s="1"/>
      <c r="I237" t="s">
        <v>92</v>
      </c>
      <c r="L237" s="1"/>
      <c r="M237" s="1" t="s">
        <v>63</v>
      </c>
      <c r="N237" s="1"/>
      <c r="O237" s="1"/>
      <c r="Q237" s="1"/>
      <c r="R237" s="1"/>
      <c r="T237" s="1"/>
      <c r="U237" s="1"/>
      <c r="W237" s="1"/>
      <c r="X237" s="1"/>
      <c r="AF237" s="1"/>
      <c r="AG237" s="1"/>
      <c r="AI237" s="1"/>
      <c r="AJ237" s="1"/>
      <c r="AL237" s="1"/>
      <c r="AM237" s="1"/>
      <c r="AO237" s="1"/>
      <c r="AP237" s="1"/>
    </row>
    <row r="238" spans="1:42" ht="24" customHeight="1">
      <c r="F238" s="16">
        <v>1</v>
      </c>
      <c r="G238" s="17">
        <v>0</v>
      </c>
      <c r="H238" s="17">
        <v>1</v>
      </c>
      <c r="I238" s="16">
        <v>1</v>
      </c>
      <c r="J238" s="17">
        <v>1</v>
      </c>
      <c r="K238" s="17">
        <v>1</v>
      </c>
      <c r="L238" s="18">
        <v>0</v>
      </c>
      <c r="M238" s="13">
        <v>1</v>
      </c>
      <c r="N238" s="1"/>
      <c r="O238" s="10" cm="1">
        <f t="array" ref="O238:O241">MMULT(F238:M241,O228:O235)</f>
        <v>3</v>
      </c>
      <c r="Q238" s="1"/>
      <c r="R238" s="10"/>
      <c r="T238" s="1"/>
      <c r="U238" s="10"/>
      <c r="W238" s="1"/>
      <c r="X238" s="10"/>
      <c r="AB238" s="16">
        <v>1</v>
      </c>
      <c r="AC238" s="17">
        <v>-1</v>
      </c>
      <c r="AD238" s="18">
        <v>0</v>
      </c>
      <c r="AE238" s="13">
        <v>1</v>
      </c>
      <c r="AF238" s="1"/>
      <c r="AG238" s="10"/>
      <c r="AI238" s="1"/>
      <c r="AJ238" s="10"/>
      <c r="AL238" s="1"/>
      <c r="AM238" s="10"/>
      <c r="AO238" s="1"/>
      <c r="AP238" s="10"/>
    </row>
    <row r="239" spans="1:42" ht="24" customHeight="1">
      <c r="F239" s="19">
        <v>0</v>
      </c>
      <c r="G239" s="2">
        <v>-1</v>
      </c>
      <c r="H239" s="2">
        <v>0</v>
      </c>
      <c r="I239" s="19">
        <v>0</v>
      </c>
      <c r="J239" s="2">
        <v>0</v>
      </c>
      <c r="K239" s="2">
        <v>0</v>
      </c>
      <c r="L239" s="20">
        <v>1</v>
      </c>
      <c r="M239" s="13">
        <v>-3</v>
      </c>
      <c r="N239" s="1"/>
      <c r="O239" s="11">
        <v>-5</v>
      </c>
      <c r="Q239" s="1"/>
      <c r="R239" s="11"/>
      <c r="T239" s="1"/>
      <c r="U239" s="11"/>
      <c r="W239" s="1"/>
      <c r="X239" s="11"/>
      <c r="AB239" s="19">
        <v>0</v>
      </c>
      <c r="AC239" s="2">
        <v>1</v>
      </c>
      <c r="AD239" s="20">
        <v>-1</v>
      </c>
      <c r="AE239" s="13">
        <v>0</v>
      </c>
      <c r="AF239" s="1"/>
      <c r="AG239" s="11"/>
      <c r="AI239" s="1"/>
      <c r="AJ239" s="11"/>
      <c r="AL239" s="1"/>
      <c r="AM239" s="11"/>
      <c r="AO239" s="1"/>
      <c r="AP239" s="11"/>
    </row>
    <row r="240" spans="1:42" ht="24" customHeight="1">
      <c r="F240" s="19">
        <v>1</v>
      </c>
      <c r="G240" s="2">
        <v>0</v>
      </c>
      <c r="H240" s="2">
        <v>1</v>
      </c>
      <c r="I240" s="19">
        <v>0</v>
      </c>
      <c r="J240" s="2">
        <v>1</v>
      </c>
      <c r="K240" s="2">
        <v>1</v>
      </c>
      <c r="L240" s="20">
        <v>0</v>
      </c>
      <c r="M240" s="13">
        <v>2</v>
      </c>
      <c r="N240" s="1"/>
      <c r="O240" s="11">
        <v>4</v>
      </c>
      <c r="Q240" s="1"/>
      <c r="R240" s="11"/>
      <c r="T240" s="1"/>
      <c r="U240" s="11"/>
      <c r="W240" s="1"/>
      <c r="X240" s="11"/>
      <c r="AB240" s="21">
        <v>1</v>
      </c>
      <c r="AC240" s="22">
        <v>0</v>
      </c>
      <c r="AD240" s="23">
        <v>-1</v>
      </c>
      <c r="AE240" s="13">
        <v>1</v>
      </c>
      <c r="AF240" s="1"/>
      <c r="AG240" s="12"/>
      <c r="AI240" s="1"/>
      <c r="AJ240" s="12"/>
      <c r="AL240" s="1"/>
      <c r="AM240" s="12"/>
      <c r="AO240" s="1"/>
      <c r="AP240" s="12"/>
    </row>
    <row r="241" spans="1:42" ht="24" customHeight="1">
      <c r="F241" s="21">
        <v>0</v>
      </c>
      <c r="G241" s="22">
        <v>2</v>
      </c>
      <c r="H241" s="22">
        <v>0</v>
      </c>
      <c r="I241" s="21">
        <v>0</v>
      </c>
      <c r="J241" s="22">
        <v>0</v>
      </c>
      <c r="K241" s="22">
        <v>0</v>
      </c>
      <c r="L241" s="23">
        <v>1</v>
      </c>
      <c r="M241" s="13">
        <v>0</v>
      </c>
      <c r="N241" s="1"/>
      <c r="O241" s="12">
        <v>4</v>
      </c>
      <c r="Q241" s="1"/>
      <c r="R241" s="12"/>
      <c r="T241" s="1"/>
      <c r="U241" s="12"/>
      <c r="W241" s="1"/>
      <c r="X241" s="12"/>
      <c r="AF241" s="1"/>
      <c r="AG241" s="1"/>
      <c r="AI241" s="1"/>
      <c r="AJ241" s="1"/>
      <c r="AL241" s="1"/>
      <c r="AM241" s="1"/>
      <c r="AO241" s="1"/>
      <c r="AP241" s="1"/>
    </row>
    <row r="242" spans="1:42" ht="24" customHeight="1">
      <c r="F242" s="1"/>
      <c r="G242" s="1"/>
      <c r="H242" s="1"/>
      <c r="I242" s="1"/>
      <c r="J242" s="1"/>
      <c r="N242" s="1"/>
      <c r="O242" s="1"/>
      <c r="Q242" s="1"/>
      <c r="R242" s="1"/>
      <c r="T242" s="1"/>
      <c r="U242" s="1"/>
      <c r="W242" s="1"/>
      <c r="X242" s="1"/>
      <c r="AG242" s="10"/>
      <c r="AH242" s="52" t="s">
        <v>88</v>
      </c>
      <c r="AI242" s="1"/>
      <c r="AJ242" s="10"/>
      <c r="AK242" s="52" t="s">
        <v>89</v>
      </c>
      <c r="AL242" s="1"/>
      <c r="AM242" s="10"/>
      <c r="AN242" s="52" t="s">
        <v>90</v>
      </c>
      <c r="AO242" s="1"/>
      <c r="AP242" s="10"/>
    </row>
    <row r="243" spans="1:42" ht="24" customHeight="1">
      <c r="F243" s="1"/>
      <c r="G243" s="1"/>
      <c r="H243" s="1"/>
      <c r="I243" s="1"/>
      <c r="J243" s="3" t="s">
        <v>93</v>
      </c>
      <c r="O243" s="10"/>
      <c r="P243" s="52" t="s">
        <v>88</v>
      </c>
      <c r="Q243" s="1"/>
      <c r="R243" s="10"/>
      <c r="S243" s="52" t="s">
        <v>89</v>
      </c>
      <c r="T243" s="1"/>
      <c r="U243" s="10"/>
      <c r="V243" s="52" t="s">
        <v>90</v>
      </c>
      <c r="W243" s="1"/>
      <c r="X243" s="10"/>
      <c r="Y243" s="52"/>
      <c r="AF243" s="1"/>
      <c r="AG243" s="11"/>
      <c r="AI243" s="1"/>
      <c r="AJ243" s="11"/>
      <c r="AL243" s="1"/>
      <c r="AM243" s="11"/>
      <c r="AO243" s="1"/>
      <c r="AP243" s="11"/>
    </row>
    <row r="244" spans="1:42" ht="24" customHeight="1">
      <c r="F244" s="1"/>
      <c r="G244" s="1"/>
      <c r="H244" s="1"/>
      <c r="I244" s="1"/>
      <c r="J244" s="1"/>
      <c r="N244" s="1"/>
      <c r="O244" s="11"/>
      <c r="Q244" s="1"/>
      <c r="R244" s="11"/>
      <c r="T244" s="1"/>
      <c r="U244" s="11"/>
      <c r="W244" s="1"/>
      <c r="X244" s="11"/>
      <c r="AF244" s="1"/>
      <c r="AG244" s="12"/>
      <c r="AI244" s="1"/>
      <c r="AJ244" s="12"/>
      <c r="AL244" s="1"/>
      <c r="AM244" s="12"/>
      <c r="AO244" s="1"/>
      <c r="AP244" s="12"/>
    </row>
    <row r="245" spans="1:42" ht="24" customHeight="1">
      <c r="F245" s="1"/>
      <c r="G245" s="1"/>
      <c r="H245" s="1"/>
      <c r="I245" s="1"/>
      <c r="J245" s="1"/>
      <c r="N245" s="1"/>
      <c r="O245" s="11"/>
      <c r="Q245" s="1"/>
      <c r="R245" s="11"/>
      <c r="T245" s="1"/>
      <c r="U245" s="11"/>
      <c r="W245" s="1"/>
      <c r="X245" s="11"/>
      <c r="AA245" s="1"/>
      <c r="AB245" s="1"/>
      <c r="AF245" s="1"/>
      <c r="AG245" s="1">
        <v>1</v>
      </c>
      <c r="AI245" s="1"/>
      <c r="AJ245" s="1">
        <v>1</v>
      </c>
      <c r="AL245" s="1"/>
      <c r="AM245" s="1">
        <v>1</v>
      </c>
      <c r="AO245" s="1"/>
      <c r="AP245" s="1">
        <v>1</v>
      </c>
    </row>
    <row r="246" spans="1:42" ht="24" customHeight="1">
      <c r="F246" s="1"/>
      <c r="G246" s="1"/>
      <c r="H246" s="1"/>
      <c r="I246" s="1"/>
      <c r="J246" s="1"/>
      <c r="N246" s="1"/>
      <c r="O246" s="12"/>
      <c r="Q246" s="1"/>
      <c r="R246" s="12"/>
      <c r="T246" s="1"/>
      <c r="U246" s="12"/>
      <c r="W246" s="1"/>
      <c r="X246" s="12"/>
    </row>
    <row r="247" spans="1:42" ht="24" customHeight="1">
      <c r="F247" s="1"/>
      <c r="G247" s="1"/>
      <c r="H247" s="1"/>
      <c r="I247" s="1"/>
      <c r="J247" s="1"/>
      <c r="N247" s="1"/>
      <c r="O247" s="1"/>
      <c r="Q247" s="1"/>
      <c r="R247" s="1"/>
      <c r="T247" s="1"/>
      <c r="U247" s="1"/>
      <c r="W247" s="1"/>
      <c r="X247" s="1">
        <v>1</v>
      </c>
      <c r="AB247" s="2">
        <v>1</v>
      </c>
      <c r="AC247" s="2">
        <v>0</v>
      </c>
      <c r="AD247" s="2">
        <v>0</v>
      </c>
      <c r="AE247" s="13">
        <v>1</v>
      </c>
      <c r="AG247" s="10"/>
      <c r="AH247" s="1"/>
      <c r="AI247" s="1"/>
      <c r="AJ247" s="10"/>
      <c r="AK247" s="1"/>
      <c r="AL247" s="1"/>
      <c r="AM247" s="10"/>
      <c r="AN247" s="1"/>
      <c r="AO247" s="1"/>
      <c r="AP247" s="10"/>
    </row>
    <row r="248" spans="1:42" ht="24" customHeight="1">
      <c r="AB248" s="2">
        <v>0</v>
      </c>
      <c r="AC248" s="2">
        <v>1</v>
      </c>
      <c r="AD248" s="2">
        <v>-1</v>
      </c>
      <c r="AE248" s="13">
        <v>-3</v>
      </c>
      <c r="AG248" s="12"/>
      <c r="AH248" s="1"/>
      <c r="AI248" s="1"/>
      <c r="AJ248" s="12"/>
      <c r="AK248" s="1"/>
      <c r="AL248" s="1"/>
      <c r="AM248" s="12"/>
      <c r="AN248" s="1"/>
      <c r="AO248" s="1"/>
      <c r="AP248" s="12"/>
    </row>
    <row r="249" spans="1:42" ht="24" customHeight="1">
      <c r="R249" s="2">
        <v>1</v>
      </c>
      <c r="S249" s="2">
        <v>0</v>
      </c>
      <c r="T249" s="2">
        <v>1</v>
      </c>
      <c r="U249" s="2">
        <v>1</v>
      </c>
      <c r="V249" s="13">
        <v>1</v>
      </c>
      <c r="X249" s="10"/>
      <c r="Y249" s="52" t="s">
        <v>94</v>
      </c>
    </row>
    <row r="250" spans="1:42" ht="24" customHeight="1">
      <c r="R250" s="2">
        <v>1</v>
      </c>
      <c r="S250" s="2">
        <v>1</v>
      </c>
      <c r="T250" s="2">
        <v>1</v>
      </c>
      <c r="U250" s="2">
        <v>0</v>
      </c>
      <c r="V250" s="13">
        <v>-3</v>
      </c>
      <c r="X250" s="11"/>
      <c r="AG250" s="27"/>
      <c r="AJ250" s="27"/>
      <c r="AM250" s="27"/>
      <c r="AP250" s="27"/>
    </row>
    <row r="251" spans="1:42" ht="24" customHeight="1">
      <c r="R251" s="2">
        <v>1</v>
      </c>
      <c r="S251" s="2">
        <v>1</v>
      </c>
      <c r="T251" s="2">
        <v>1</v>
      </c>
      <c r="U251" s="2">
        <v>0</v>
      </c>
      <c r="V251" s="13">
        <v>-3</v>
      </c>
      <c r="X251" s="12"/>
      <c r="AF251" s="1" t="s">
        <v>95</v>
      </c>
      <c r="AG251" s="28"/>
      <c r="AI251" s="1" t="s">
        <v>96</v>
      </c>
      <c r="AJ251" s="28"/>
      <c r="AL251" s="25" t="s">
        <v>97</v>
      </c>
      <c r="AM251" s="28"/>
      <c r="AO251" s="1" t="s">
        <v>98</v>
      </c>
      <c r="AP251" s="28"/>
    </row>
    <row r="253" spans="1:42" s="51" customFormat="1" ht="24" customHeight="1"/>
    <row r="254" spans="1:42" ht="24" customHeight="1">
      <c r="C254" s="1">
        <v>1</v>
      </c>
      <c r="D254" s="1">
        <v>2</v>
      </c>
      <c r="E254" s="1">
        <v>3</v>
      </c>
      <c r="F254" s="1">
        <v>4</v>
      </c>
      <c r="G254" s="1">
        <v>5</v>
      </c>
      <c r="H254" s="1">
        <v>6</v>
      </c>
      <c r="I254" s="1">
        <v>7</v>
      </c>
      <c r="J254" s="1">
        <v>8</v>
      </c>
      <c r="K254" s="1">
        <v>9</v>
      </c>
      <c r="L254" s="1">
        <v>10</v>
      </c>
    </row>
    <row r="255" spans="1:42" ht="24" customHeight="1">
      <c r="A255" s="50" t="s">
        <v>1</v>
      </c>
      <c r="B255" s="50"/>
      <c r="C255" s="49">
        <f>X243</f>
        <v>0</v>
      </c>
      <c r="D255" s="49">
        <f>X250</f>
        <v>0</v>
      </c>
      <c r="E255" s="49">
        <f>AG232</f>
        <v>0</v>
      </c>
      <c r="F255" s="49">
        <f>AG239</f>
        <v>0</v>
      </c>
      <c r="G255" s="49">
        <f>AG247</f>
        <v>0</v>
      </c>
      <c r="H255" s="49">
        <f>AJ250</f>
        <v>0</v>
      </c>
      <c r="I255" s="49">
        <f>AM247</f>
        <v>0</v>
      </c>
      <c r="J255" s="49">
        <f>AP231</f>
        <v>0</v>
      </c>
      <c r="K255" s="49">
        <f>AP243</f>
        <v>0</v>
      </c>
      <c r="L255" s="49">
        <f>AP250</f>
        <v>0</v>
      </c>
    </row>
    <row r="256" spans="1:42" ht="24" customHeight="1">
      <c r="A256" s="50" t="s">
        <v>2</v>
      </c>
      <c r="B256" s="50"/>
      <c r="C256" s="49">
        <v>38</v>
      </c>
      <c r="D256" s="49">
        <v>58</v>
      </c>
      <c r="E256" s="49">
        <v>58</v>
      </c>
      <c r="F256" s="49">
        <v>0</v>
      </c>
      <c r="G256" s="49">
        <v>12</v>
      </c>
      <c r="H256" s="49">
        <v>13</v>
      </c>
      <c r="I256" s="49">
        <v>14</v>
      </c>
      <c r="J256" s="49">
        <v>13</v>
      </c>
      <c r="K256" s="49">
        <v>0</v>
      </c>
      <c r="L256" s="49">
        <v>15</v>
      </c>
    </row>
    <row r="257" spans="1:47" ht="24" customHeight="1">
      <c r="A257" s="50" t="s">
        <v>3</v>
      </c>
      <c r="C257" s="49" t="str">
        <f>IF(C255=C256,"Y","N")</f>
        <v>N</v>
      </c>
      <c r="D257" s="49" t="str">
        <f t="shared" ref="D257:L257" si="4">IF(D255=D256,"Y","N")</f>
        <v>N</v>
      </c>
      <c r="E257" s="49" t="str">
        <f t="shared" si="4"/>
        <v>N</v>
      </c>
      <c r="F257" s="49" t="str">
        <f t="shared" si="4"/>
        <v>Y</v>
      </c>
      <c r="G257" s="49" t="str">
        <f t="shared" si="4"/>
        <v>N</v>
      </c>
      <c r="H257" s="49" t="str">
        <f t="shared" si="4"/>
        <v>N</v>
      </c>
      <c r="I257" s="49" t="str">
        <f t="shared" si="4"/>
        <v>N</v>
      </c>
      <c r="J257" s="49" t="str">
        <f t="shared" si="4"/>
        <v>N</v>
      </c>
      <c r="K257" s="49" t="str">
        <f t="shared" si="4"/>
        <v>Y</v>
      </c>
      <c r="L257" s="49" t="str">
        <f t="shared" si="4"/>
        <v>N</v>
      </c>
    </row>
    <row r="258" spans="1:47" ht="24" customHeight="1">
      <c r="A258" s="50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47" ht="24" customHeight="1">
      <c r="A259" s="50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47" ht="24" customHeight="1">
      <c r="A260" s="50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47" ht="24" customHeight="1">
      <c r="A261" s="50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47" ht="24" customHeight="1">
      <c r="A262" s="50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47" ht="24" customHeight="1">
      <c r="A263" s="50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47" ht="24" customHeight="1">
      <c r="A264" s="50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47" ht="24" customHeight="1">
      <c r="A265" s="50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7" spans="1:47" s="142" customFormat="1" ht="32.1">
      <c r="A267" s="142" t="s">
        <v>99</v>
      </c>
    </row>
    <row r="269" spans="1:47" ht="24" customHeight="1">
      <c r="C269" s="1"/>
      <c r="D269" s="1"/>
      <c r="E269" s="1"/>
      <c r="F269" s="1"/>
      <c r="G269" s="1"/>
      <c r="H269" s="1"/>
      <c r="I269" s="1"/>
      <c r="J269" s="1"/>
      <c r="L269" s="1"/>
    </row>
    <row r="270" spans="1:47" ht="24" customHeight="1">
      <c r="C270" s="1"/>
      <c r="D270" s="1"/>
      <c r="E270" s="1"/>
      <c r="F270" s="1"/>
      <c r="G270" s="1"/>
      <c r="H270" s="1"/>
      <c r="I270" s="1"/>
      <c r="J270" s="1"/>
      <c r="L270" s="1"/>
    </row>
    <row r="271" spans="1:47" ht="24" customHeight="1">
      <c r="B271" t="s">
        <v>100</v>
      </c>
      <c r="C271" s="40"/>
      <c r="D271" s="41"/>
      <c r="E271" s="42"/>
      <c r="F271" s="1"/>
      <c r="G271" s="1"/>
      <c r="H271" s="1"/>
      <c r="I271" s="1"/>
      <c r="J271" s="1"/>
      <c r="L271" s="1"/>
      <c r="N271" t="s">
        <v>83</v>
      </c>
      <c r="O271" s="7">
        <v>1</v>
      </c>
      <c r="P271" s="6"/>
      <c r="Q271" t="s">
        <v>84</v>
      </c>
      <c r="R271" s="7">
        <v>2</v>
      </c>
      <c r="S271" s="6"/>
      <c r="T271" t="s">
        <v>85</v>
      </c>
      <c r="U271" s="7">
        <v>1</v>
      </c>
      <c r="V271" s="6"/>
      <c r="W271" t="s">
        <v>86</v>
      </c>
      <c r="X271" s="7">
        <v>0</v>
      </c>
      <c r="Y271" s="6"/>
      <c r="AE271" s="1"/>
      <c r="AF271" s="1"/>
      <c r="AH271" s="1"/>
      <c r="AJ271" t="s">
        <v>83</v>
      </c>
      <c r="AK271" s="7">
        <v>1</v>
      </c>
      <c r="AL271" s="6"/>
      <c r="AM271" t="s">
        <v>84</v>
      </c>
      <c r="AN271" s="7">
        <v>2</v>
      </c>
      <c r="AO271" s="6"/>
      <c r="AP271" t="s">
        <v>85</v>
      </c>
      <c r="AQ271" s="7">
        <v>1</v>
      </c>
      <c r="AR271" s="6"/>
      <c r="AS271" t="s">
        <v>86</v>
      </c>
      <c r="AT271" s="7">
        <v>0</v>
      </c>
      <c r="AU271" s="6"/>
    </row>
    <row r="272" spans="1:47" ht="24" customHeight="1">
      <c r="I272" s="1"/>
      <c r="J272" s="1"/>
      <c r="K272" s="1"/>
      <c r="L272" s="1"/>
      <c r="O272" s="8">
        <v>2</v>
      </c>
      <c r="R272" s="8">
        <v>0</v>
      </c>
      <c r="U272" s="8">
        <v>3</v>
      </c>
      <c r="X272" s="8">
        <v>1</v>
      </c>
      <c r="AE272" s="1"/>
      <c r="AF272" s="1"/>
      <c r="AG272" s="1"/>
      <c r="AH272" s="1"/>
      <c r="AK272" s="8">
        <v>2</v>
      </c>
      <c r="AN272" s="8">
        <v>0</v>
      </c>
      <c r="AQ272" s="8">
        <v>3</v>
      </c>
      <c r="AT272" s="8">
        <v>1</v>
      </c>
    </row>
    <row r="273" spans="2:47" ht="24" customHeight="1">
      <c r="I273" s="1"/>
      <c r="J273" s="1"/>
      <c r="K273" s="1"/>
      <c r="L273" s="1"/>
      <c r="O273" s="9">
        <v>1</v>
      </c>
      <c r="R273" s="9">
        <v>1</v>
      </c>
      <c r="U273" s="9">
        <v>-1</v>
      </c>
      <c r="X273" s="9">
        <v>3</v>
      </c>
      <c r="AE273" s="1"/>
      <c r="AF273" s="1"/>
      <c r="AG273" s="1"/>
      <c r="AH273" s="1"/>
      <c r="AK273" s="9">
        <v>1</v>
      </c>
      <c r="AN273" s="9">
        <v>1</v>
      </c>
      <c r="AQ273" s="9">
        <v>-1</v>
      </c>
      <c r="AT273" s="9">
        <v>3</v>
      </c>
    </row>
    <row r="274" spans="2:47" ht="24" customHeight="1">
      <c r="I274" s="1"/>
      <c r="J274" s="1"/>
      <c r="K274" s="1"/>
      <c r="L274" s="1"/>
      <c r="O274" s="1">
        <v>1</v>
      </c>
      <c r="R274" s="1">
        <v>1</v>
      </c>
      <c r="U274" s="1">
        <v>1</v>
      </c>
      <c r="X274" s="1">
        <v>1</v>
      </c>
      <c r="AE274" s="1"/>
      <c r="AF274" s="1"/>
      <c r="AG274" s="1"/>
      <c r="AH274" s="1"/>
      <c r="AJ274" t="s">
        <v>87</v>
      </c>
      <c r="AK274" s="14">
        <v>0</v>
      </c>
      <c r="AM274" t="s">
        <v>88</v>
      </c>
      <c r="AN274" s="14"/>
      <c r="AP274" t="s">
        <v>89</v>
      </c>
      <c r="AQ274" s="14"/>
      <c r="AS274" t="s">
        <v>90</v>
      </c>
      <c r="AT274" s="14"/>
    </row>
    <row r="275" spans="2:47" ht="24" customHeight="1">
      <c r="I275" s="1"/>
      <c r="J275" s="1"/>
      <c r="K275" s="1"/>
      <c r="L275" s="1"/>
      <c r="AE275" s="1"/>
      <c r="AF275" s="1"/>
      <c r="AG275" s="1"/>
      <c r="AH275" s="1"/>
      <c r="AK275" s="24">
        <v>0</v>
      </c>
      <c r="AN275" s="24"/>
      <c r="AQ275" s="24"/>
      <c r="AT275" s="24"/>
    </row>
    <row r="276" spans="2:47" ht="24" customHeight="1">
      <c r="I276" s="1"/>
      <c r="J276" s="3" t="s">
        <v>101</v>
      </c>
      <c r="K276" s="1"/>
      <c r="L276" s="1"/>
      <c r="M276" s="1"/>
      <c r="N276" s="3"/>
      <c r="O276" s="1"/>
      <c r="Q276" s="3"/>
      <c r="R276" s="1"/>
      <c r="T276" s="3"/>
      <c r="U276" s="1"/>
      <c r="W276" s="3"/>
      <c r="X276" s="1"/>
      <c r="AK276" s="24">
        <v>0</v>
      </c>
      <c r="AN276" s="24"/>
      <c r="AQ276" s="24"/>
      <c r="AT276" s="24"/>
    </row>
    <row r="277" spans="2:47" ht="24" customHeight="1">
      <c r="J277" s="1" t="s">
        <v>102</v>
      </c>
      <c r="K277" s="1"/>
      <c r="L277" s="1"/>
      <c r="M277" s="1" t="s">
        <v>63</v>
      </c>
      <c r="N277" s="1"/>
      <c r="O277" s="1"/>
      <c r="Q277" s="1"/>
      <c r="R277" s="1"/>
      <c r="T277" s="1"/>
      <c r="U277" s="1"/>
      <c r="W277" s="1"/>
      <c r="X277" s="1"/>
      <c r="AK277" s="15">
        <v>0</v>
      </c>
      <c r="AN277" s="15"/>
      <c r="AQ277" s="15"/>
      <c r="AT277" s="15"/>
    </row>
    <row r="278" spans="2:47" ht="24" customHeight="1">
      <c r="J278" s="2">
        <v>1</v>
      </c>
      <c r="K278" s="2">
        <v>-1</v>
      </c>
      <c r="L278" s="2">
        <v>1</v>
      </c>
      <c r="M278" s="13">
        <v>1</v>
      </c>
      <c r="N278" s="1"/>
      <c r="O278" s="10" cm="1">
        <f t="array" ref="O278:O281">MMULT(J278:M281,O271:O274)</f>
        <v>1</v>
      </c>
      <c r="Q278" s="1"/>
      <c r="R278" s="10" cm="1">
        <f t="array" ref="R278:R281">MMULT(J278:M281,R271:R274)</f>
        <v>4</v>
      </c>
      <c r="T278" s="1"/>
      <c r="U278" s="10"/>
      <c r="W278" s="1"/>
      <c r="X278" s="10"/>
      <c r="AB278" t="s">
        <v>101</v>
      </c>
      <c r="AK278" s="1">
        <v>1</v>
      </c>
      <c r="AN278" s="1">
        <v>1</v>
      </c>
      <c r="AQ278" s="1">
        <v>1</v>
      </c>
      <c r="AT278" s="1">
        <v>1</v>
      </c>
    </row>
    <row r="279" spans="2:47" ht="24" customHeight="1">
      <c r="J279" s="2">
        <v>2</v>
      </c>
      <c r="K279" s="2">
        <v>-1</v>
      </c>
      <c r="L279" s="2">
        <v>2</v>
      </c>
      <c r="M279" s="13">
        <v>-3</v>
      </c>
      <c r="N279" s="1"/>
      <c r="O279" s="11">
        <v>-1</v>
      </c>
      <c r="Q279" s="1"/>
      <c r="R279" s="11">
        <v>3</v>
      </c>
      <c r="T279" s="1"/>
      <c r="U279" s="11"/>
      <c r="W279" s="1"/>
      <c r="X279" s="11"/>
      <c r="AF279" s="1"/>
      <c r="AG279" s="1"/>
      <c r="AH279" s="1"/>
      <c r="AI279" s="1" t="s">
        <v>63</v>
      </c>
      <c r="AJ279" s="1"/>
      <c r="AK279" s="1"/>
      <c r="AM279" s="1"/>
      <c r="AN279" s="1"/>
      <c r="AP279" s="1"/>
      <c r="AQ279" s="1"/>
      <c r="AS279" s="1"/>
      <c r="AT279" s="1"/>
    </row>
    <row r="280" spans="2:47" ht="24" customHeight="1">
      <c r="J280" s="2">
        <v>1</v>
      </c>
      <c r="K280" s="2">
        <v>0</v>
      </c>
      <c r="L280" s="2">
        <v>1</v>
      </c>
      <c r="M280" s="13">
        <v>2</v>
      </c>
      <c r="N280" s="1"/>
      <c r="O280" s="11">
        <v>4</v>
      </c>
      <c r="Q280" s="1"/>
      <c r="R280" s="11">
        <v>5</v>
      </c>
      <c r="T280" s="1"/>
      <c r="U280" s="11"/>
      <c r="W280" s="1"/>
      <c r="X280" s="11"/>
      <c r="AB280" s="16">
        <v>1</v>
      </c>
      <c r="AC280" s="17">
        <v>-1</v>
      </c>
      <c r="AD280" s="18">
        <v>1</v>
      </c>
      <c r="AE280" s="16">
        <v>1</v>
      </c>
      <c r="AF280" s="17">
        <v>1</v>
      </c>
      <c r="AG280" s="17">
        <v>-1</v>
      </c>
      <c r="AH280" s="18">
        <v>1</v>
      </c>
      <c r="AI280" s="13">
        <v>1</v>
      </c>
      <c r="AJ280" s="1"/>
      <c r="AK280" s="10"/>
      <c r="AM280" s="1"/>
      <c r="AN280" s="10"/>
      <c r="AP280" s="1"/>
      <c r="AQ280" s="10"/>
      <c r="AS280" s="1"/>
      <c r="AT280" s="10"/>
    </row>
    <row r="281" spans="2:47" ht="24" customHeight="1">
      <c r="J281" s="2">
        <v>0</v>
      </c>
      <c r="K281" s="2">
        <v>2</v>
      </c>
      <c r="L281" s="2">
        <v>-2</v>
      </c>
      <c r="M281" s="13">
        <v>0</v>
      </c>
      <c r="N281" s="1"/>
      <c r="O281" s="12">
        <v>2</v>
      </c>
      <c r="Q281" s="1"/>
      <c r="R281" s="12">
        <v>-2</v>
      </c>
      <c r="T281" s="1"/>
      <c r="U281" s="12"/>
      <c r="W281" s="1"/>
      <c r="X281" s="12"/>
      <c r="AB281" s="19">
        <v>2</v>
      </c>
      <c r="AC281" s="2">
        <v>-1</v>
      </c>
      <c r="AD281" s="20">
        <v>2</v>
      </c>
      <c r="AE281" s="19">
        <v>2</v>
      </c>
      <c r="AF281" s="2">
        <v>2</v>
      </c>
      <c r="AG281" s="2">
        <v>-1</v>
      </c>
      <c r="AH281" s="20">
        <v>2</v>
      </c>
      <c r="AI281" s="13">
        <v>-3</v>
      </c>
      <c r="AJ281" s="1"/>
      <c r="AK281" s="11"/>
      <c r="AM281" s="1"/>
      <c r="AN281" s="11"/>
      <c r="AP281" s="1"/>
      <c r="AQ281" s="11"/>
      <c r="AS281" s="1"/>
      <c r="AT281" s="11"/>
    </row>
    <row r="282" spans="2:47" ht="24" customHeight="1">
      <c r="I282" s="1"/>
      <c r="J282" s="1"/>
      <c r="K282" s="1"/>
      <c r="L282" s="1"/>
      <c r="M282" s="1"/>
      <c r="N282" s="1"/>
      <c r="O282" s="1"/>
      <c r="Q282" s="1"/>
      <c r="R282" s="1"/>
      <c r="T282" s="1"/>
      <c r="U282" s="1"/>
      <c r="W282" s="1"/>
      <c r="X282" s="1"/>
      <c r="AB282" s="19">
        <v>1</v>
      </c>
      <c r="AC282" s="2">
        <v>0</v>
      </c>
      <c r="AD282" s="20">
        <v>1</v>
      </c>
      <c r="AE282" s="19">
        <v>1</v>
      </c>
      <c r="AF282" s="2">
        <v>1</v>
      </c>
      <c r="AG282" s="2">
        <v>0</v>
      </c>
      <c r="AH282" s="20">
        <v>1</v>
      </c>
      <c r="AI282" s="13">
        <v>2</v>
      </c>
      <c r="AJ282" s="1"/>
      <c r="AK282" s="11"/>
      <c r="AM282" s="1"/>
      <c r="AN282" s="11"/>
      <c r="AP282" s="1"/>
      <c r="AQ282" s="11"/>
      <c r="AS282" s="1"/>
      <c r="AT282" s="11"/>
    </row>
    <row r="283" spans="2:47" ht="24" customHeight="1">
      <c r="B283" t="s">
        <v>103</v>
      </c>
      <c r="C283" s="43"/>
      <c r="D283" s="44"/>
      <c r="E283" s="44"/>
      <c r="F283" s="45"/>
      <c r="I283" s="1"/>
      <c r="J283" s="1"/>
      <c r="K283" t="s">
        <v>93</v>
      </c>
      <c r="L283" s="1"/>
      <c r="M283" s="1"/>
      <c r="N283" t="s">
        <v>88</v>
      </c>
      <c r="O283" s="14" cm="1">
        <f t="array" ref="O283:O286">_xlfn.MAP(_xlfn.ANCHORARRAY(O278),_xlfn.LAMBDA(_xlpm.x, MAX(_xlpm.x,0)))</f>
        <v>1</v>
      </c>
      <c r="Q283" s="1" t="s">
        <v>89</v>
      </c>
      <c r="R283" s="14"/>
      <c r="T283" t="s">
        <v>90</v>
      </c>
      <c r="U283" s="14"/>
      <c r="W283" t="s">
        <v>104</v>
      </c>
      <c r="X283" s="14"/>
      <c r="AB283" s="21">
        <v>0</v>
      </c>
      <c r="AC283" s="22">
        <v>2</v>
      </c>
      <c r="AD283" s="23">
        <v>-2</v>
      </c>
      <c r="AE283" s="21">
        <v>0</v>
      </c>
      <c r="AF283" s="22">
        <v>0</v>
      </c>
      <c r="AG283" s="22">
        <v>2</v>
      </c>
      <c r="AH283" s="23">
        <v>-2</v>
      </c>
      <c r="AI283" s="13">
        <v>0</v>
      </c>
      <c r="AJ283" s="1"/>
      <c r="AK283" s="12"/>
      <c r="AM283" s="1"/>
      <c r="AN283" s="12"/>
      <c r="AP283" s="1"/>
      <c r="AQ283" s="12"/>
      <c r="AS283" s="1"/>
      <c r="AT283" s="12"/>
    </row>
    <row r="284" spans="2:47" ht="24" customHeight="1">
      <c r="I284" s="1"/>
      <c r="J284" s="1"/>
      <c r="K284" s="1"/>
      <c r="L284" s="1"/>
      <c r="M284" s="1"/>
      <c r="N284" s="1"/>
      <c r="O284" s="24">
        <v>0</v>
      </c>
      <c r="P284" s="6"/>
      <c r="Q284" s="1"/>
      <c r="R284" s="24"/>
      <c r="S284" s="6"/>
      <c r="T284" s="1"/>
      <c r="U284" s="24"/>
      <c r="V284" s="6"/>
      <c r="W284" s="1"/>
      <c r="X284" s="24"/>
      <c r="Y284" s="6"/>
      <c r="AE284" s="1"/>
      <c r="AF284" s="1"/>
      <c r="AG284" s="1"/>
      <c r="AH284" t="s">
        <v>93</v>
      </c>
      <c r="AI284" s="1"/>
      <c r="AJ284" s="1"/>
      <c r="AK284" s="1"/>
      <c r="AM284" s="1"/>
      <c r="AN284" s="1"/>
      <c r="AP284" s="1"/>
      <c r="AQ284" s="1"/>
      <c r="AS284" s="1"/>
      <c r="AT284" s="1"/>
    </row>
    <row r="285" spans="2:47" ht="24" customHeight="1">
      <c r="I285" s="1"/>
      <c r="J285" s="1"/>
      <c r="K285" s="1"/>
      <c r="L285" s="1"/>
      <c r="M285" s="1"/>
      <c r="N285" s="1"/>
      <c r="O285" s="24">
        <v>4</v>
      </c>
      <c r="Q285" s="1"/>
      <c r="R285" s="24"/>
      <c r="T285" s="1"/>
      <c r="U285" s="24"/>
      <c r="W285" s="1"/>
      <c r="X285" s="24"/>
      <c r="AE285" s="1"/>
      <c r="AF285" s="1"/>
      <c r="AG285" t="s">
        <v>87</v>
      </c>
      <c r="AH285" s="14">
        <v>0</v>
      </c>
      <c r="AI285" s="1"/>
      <c r="AJ285" t="s">
        <v>88</v>
      </c>
      <c r="AK285" s="14"/>
      <c r="AM285" s="1" t="s">
        <v>89</v>
      </c>
      <c r="AN285" s="14"/>
      <c r="AP285" t="s">
        <v>90</v>
      </c>
      <c r="AQ285" s="14"/>
      <c r="AS285" t="s">
        <v>104</v>
      </c>
      <c r="AT285" s="14"/>
    </row>
    <row r="286" spans="2:47" ht="24" customHeight="1">
      <c r="I286" s="1"/>
      <c r="J286" s="1"/>
      <c r="K286" s="1"/>
      <c r="L286" s="1"/>
      <c r="M286" s="1"/>
      <c r="N286" s="1"/>
      <c r="O286" s="15">
        <v>2</v>
      </c>
      <c r="Q286" s="1"/>
      <c r="R286" s="15"/>
      <c r="T286" s="1"/>
      <c r="U286" s="15"/>
      <c r="W286" s="1"/>
      <c r="X286" s="15"/>
      <c r="AE286" s="1"/>
      <c r="AF286" s="1"/>
      <c r="AG286" s="1"/>
      <c r="AH286" s="24">
        <v>0</v>
      </c>
      <c r="AI286" s="6"/>
      <c r="AJ286" s="1"/>
      <c r="AK286" s="24"/>
      <c r="AL286" s="6"/>
      <c r="AM286" s="1"/>
      <c r="AN286" s="24"/>
      <c r="AO286" s="6"/>
      <c r="AP286" s="1"/>
      <c r="AQ286" s="24"/>
      <c r="AR286" s="6"/>
      <c r="AS286" s="1"/>
      <c r="AT286" s="24"/>
      <c r="AU286" s="6"/>
    </row>
    <row r="287" spans="2:47" ht="24" customHeight="1">
      <c r="I287" s="3" t="s">
        <v>101</v>
      </c>
      <c r="J287" s="1"/>
      <c r="K287" s="1"/>
      <c r="L287" s="1"/>
      <c r="M287" s="1"/>
      <c r="N287" s="1"/>
      <c r="O287" s="1">
        <v>1</v>
      </c>
      <c r="Q287" s="1"/>
      <c r="R287" s="1">
        <v>1</v>
      </c>
      <c r="T287" s="1"/>
      <c r="U287" s="1">
        <v>1</v>
      </c>
      <c r="W287" s="1"/>
      <c r="X287" s="1">
        <v>1</v>
      </c>
      <c r="AE287" s="1"/>
      <c r="AF287" s="1"/>
      <c r="AG287" s="1"/>
      <c r="AH287" s="24">
        <v>0</v>
      </c>
      <c r="AI287" s="1"/>
      <c r="AJ287" s="1"/>
      <c r="AK287" s="24"/>
      <c r="AM287" s="1"/>
      <c r="AN287" s="24"/>
      <c r="AP287" s="1"/>
      <c r="AQ287" s="24"/>
      <c r="AS287" s="1"/>
      <c r="AT287" s="24"/>
    </row>
    <row r="288" spans="2:47" ht="24" customHeight="1">
      <c r="I288" s="1" t="s">
        <v>102</v>
      </c>
      <c r="J288" s="1"/>
      <c r="K288" s="1"/>
      <c r="L288" s="1"/>
      <c r="M288" s="1" t="s">
        <v>63</v>
      </c>
      <c r="N288" s="3"/>
      <c r="O288" s="1"/>
      <c r="Q288" s="3"/>
      <c r="R288" s="1"/>
      <c r="T288" s="3"/>
      <c r="U288" s="1"/>
      <c r="W288" s="3"/>
      <c r="X288" s="1"/>
      <c r="AE288" s="1"/>
      <c r="AF288" s="1"/>
      <c r="AG288" s="1"/>
      <c r="AH288" s="15">
        <v>0</v>
      </c>
      <c r="AI288" s="1"/>
      <c r="AJ288" s="1"/>
      <c r="AK288" s="15"/>
      <c r="AM288" s="1"/>
      <c r="AN288" s="15"/>
      <c r="AP288" s="1"/>
      <c r="AQ288" s="15"/>
      <c r="AS288" s="1"/>
      <c r="AT288" s="15"/>
    </row>
    <row r="289" spans="1:47" ht="24" customHeight="1">
      <c r="I289" s="2">
        <v>1</v>
      </c>
      <c r="J289" s="2">
        <v>-1</v>
      </c>
      <c r="K289" s="2">
        <v>0</v>
      </c>
      <c r="L289" s="2">
        <v>0</v>
      </c>
      <c r="M289" s="13">
        <v>5</v>
      </c>
      <c r="O289" s="10" cm="1">
        <f t="array" ref="O289:O290">MMULT($I289:$M290,O283:O287)</f>
        <v>6</v>
      </c>
      <c r="Q289" s="1"/>
      <c r="R289" s="10" t="e" cm="1">
        <f t="array" ref="R289">MMULT($I289:$M290,R283:R287)</f>
        <v>#VALUE!</v>
      </c>
      <c r="T289" s="1"/>
      <c r="U289" s="10" t="e" cm="1">
        <f t="array" ref="U289">MMULT($I289:$M290,U283:U287)</f>
        <v>#VALUE!</v>
      </c>
      <c r="W289" s="1"/>
      <c r="X289" s="10" t="e" cm="1">
        <f t="array" ref="X289">MMULT($I289:$M290,X283:X287)</f>
        <v>#VALUE!</v>
      </c>
      <c r="AE289" s="3" t="s">
        <v>101</v>
      </c>
      <c r="AF289" s="1"/>
      <c r="AG289" s="1"/>
      <c r="AH289" s="1"/>
      <c r="AI289" s="1"/>
      <c r="AJ289" s="1"/>
      <c r="AK289" s="1">
        <v>1</v>
      </c>
      <c r="AM289" s="1"/>
      <c r="AN289" s="1">
        <v>1</v>
      </c>
      <c r="AP289" s="1"/>
      <c r="AQ289" s="1">
        <v>1</v>
      </c>
      <c r="AS289" s="1"/>
      <c r="AT289" s="1">
        <v>1</v>
      </c>
    </row>
    <row r="290" spans="1:47" ht="24" customHeight="1">
      <c r="I290" s="2">
        <v>0</v>
      </c>
      <c r="J290" s="2">
        <v>0</v>
      </c>
      <c r="K290" s="2">
        <v>1</v>
      </c>
      <c r="L290" s="2">
        <v>-1</v>
      </c>
      <c r="M290" s="13">
        <v>-3</v>
      </c>
      <c r="O290" s="12">
        <v>-1</v>
      </c>
      <c r="Q290" s="1"/>
      <c r="R290" s="12"/>
      <c r="T290" s="1"/>
      <c r="U290" s="12"/>
      <c r="W290" s="1"/>
      <c r="X290" s="12"/>
      <c r="AE290" s="1" t="s">
        <v>102</v>
      </c>
      <c r="AF290" s="1"/>
      <c r="AG290" s="1"/>
      <c r="AH290" s="1"/>
      <c r="AI290" s="1" t="s">
        <v>63</v>
      </c>
      <c r="AJ290" s="3"/>
      <c r="AK290" s="1"/>
      <c r="AM290" s="3"/>
      <c r="AN290" s="1"/>
      <c r="AP290" s="3"/>
      <c r="AQ290" s="1"/>
      <c r="AS290" s="3"/>
      <c r="AT290" s="1"/>
    </row>
    <row r="291" spans="1:47" ht="24" customHeight="1">
      <c r="AE291" s="2">
        <v>1</v>
      </c>
      <c r="AF291" s="2">
        <v>-1</v>
      </c>
      <c r="AG291" s="2">
        <v>0</v>
      </c>
      <c r="AH291" s="2">
        <v>0</v>
      </c>
      <c r="AI291" s="13">
        <v>5</v>
      </c>
      <c r="AK291" s="10"/>
      <c r="AM291" s="1"/>
      <c r="AN291" s="10"/>
      <c r="AP291" s="1"/>
      <c r="AQ291" s="10"/>
      <c r="AS291" s="1"/>
      <c r="AT291" s="10"/>
    </row>
    <row r="292" spans="1:47" ht="24" customHeight="1">
      <c r="B292" t="s">
        <v>105</v>
      </c>
      <c r="C292" s="46"/>
      <c r="D292" s="47"/>
      <c r="K292" t="s">
        <v>93</v>
      </c>
      <c r="N292" s="26" t="s">
        <v>95</v>
      </c>
      <c r="O292" s="27" cm="1">
        <f t="array" ref="O292:O293">_xlfn.MAP(_xlfn.ANCHORARRAY(O289),_xlfn.LAMBDA(_xlpm.x, MAX(_xlpm.x,0)))</f>
        <v>6</v>
      </c>
      <c r="Q292" s="26" t="s">
        <v>96</v>
      </c>
      <c r="R292" s="27"/>
      <c r="T292" s="25" t="s">
        <v>97</v>
      </c>
      <c r="U292" s="27"/>
      <c r="W292" s="25" t="s">
        <v>98</v>
      </c>
      <c r="X292" s="27"/>
      <c r="AE292" s="2">
        <v>0</v>
      </c>
      <c r="AF292" s="2">
        <v>0</v>
      </c>
      <c r="AG292" s="2">
        <v>1</v>
      </c>
      <c r="AH292" s="2">
        <v>-1</v>
      </c>
      <c r="AI292" s="13">
        <v>-3</v>
      </c>
      <c r="AK292" s="12"/>
      <c r="AM292" s="1"/>
      <c r="AN292" s="12"/>
      <c r="AP292" s="1"/>
      <c r="AQ292" s="12"/>
      <c r="AS292" s="1"/>
      <c r="AT292" s="12"/>
    </row>
    <row r="293" spans="1:47" ht="24" customHeight="1">
      <c r="O293" s="28">
        <v>0</v>
      </c>
      <c r="P293" s="6"/>
      <c r="R293" s="28"/>
      <c r="S293" s="6"/>
      <c r="U293" s="28"/>
      <c r="V293" s="6"/>
      <c r="X293" s="28"/>
      <c r="Y293" s="6"/>
    </row>
    <row r="294" spans="1:47" ht="24" customHeight="1">
      <c r="AG294" t="s">
        <v>93</v>
      </c>
      <c r="AJ294" s="26" t="s">
        <v>95</v>
      </c>
      <c r="AK294" s="27"/>
      <c r="AM294" s="26" t="s">
        <v>96</v>
      </c>
      <c r="AN294" s="27"/>
      <c r="AP294" s="25" t="s">
        <v>97</v>
      </c>
      <c r="AQ294" s="27"/>
      <c r="AS294" s="25" t="s">
        <v>98</v>
      </c>
      <c r="AT294" s="27"/>
    </row>
    <row r="295" spans="1:47" ht="24" customHeight="1">
      <c r="AK295" s="28"/>
      <c r="AL295" s="6"/>
      <c r="AN295" s="28"/>
      <c r="AO295" s="6"/>
      <c r="AQ295" s="28"/>
      <c r="AR295" s="6"/>
      <c r="AT295" s="28"/>
      <c r="AU295" s="6"/>
    </row>
    <row r="298" spans="1:47" s="51" customFormat="1" ht="24" customHeight="1"/>
    <row r="299" spans="1:47" ht="24" customHeight="1">
      <c r="C299" s="1">
        <v>1</v>
      </c>
      <c r="D299" s="1">
        <v>2</v>
      </c>
      <c r="E299" s="1">
        <v>3</v>
      </c>
      <c r="F299" s="1">
        <v>4</v>
      </c>
      <c r="G299" s="1">
        <v>5</v>
      </c>
      <c r="H299" s="1">
        <v>6</v>
      </c>
      <c r="I299" s="1">
        <v>7</v>
      </c>
      <c r="J299" s="1">
        <v>8</v>
      </c>
      <c r="K299" s="1">
        <v>9</v>
      </c>
      <c r="L299" s="1">
        <v>10</v>
      </c>
    </row>
    <row r="300" spans="1:47" ht="24" customHeight="1">
      <c r="A300" s="50" t="s">
        <v>1</v>
      </c>
      <c r="B300" s="50"/>
      <c r="C300" s="49">
        <f>R283</f>
        <v>0</v>
      </c>
      <c r="D300" s="49">
        <f>U278</f>
        <v>0</v>
      </c>
      <c r="E300" s="49">
        <f>X280</f>
        <v>0</v>
      </c>
      <c r="F300" s="49">
        <f>R292</f>
        <v>0</v>
      </c>
      <c r="G300" s="49">
        <f>AN276</f>
        <v>0</v>
      </c>
      <c r="H300" s="49">
        <f>AN276</f>
        <v>0</v>
      </c>
      <c r="I300" s="49">
        <f>AK287</f>
        <v>0</v>
      </c>
      <c r="J300" s="49">
        <f>AN294</f>
        <v>0</v>
      </c>
      <c r="K300" s="49">
        <f>AQ291</f>
        <v>0</v>
      </c>
      <c r="L300" s="49">
        <f>AT291</f>
        <v>0</v>
      </c>
    </row>
    <row r="301" spans="1:47" ht="24" customHeight="1">
      <c r="A301" s="50" t="s">
        <v>2</v>
      </c>
      <c r="B301" s="50"/>
      <c r="C301" s="49">
        <v>4</v>
      </c>
      <c r="D301" s="49">
        <v>-2</v>
      </c>
      <c r="E301" s="49">
        <v>5</v>
      </c>
      <c r="F301" s="49">
        <v>6</v>
      </c>
      <c r="G301" s="49">
        <v>4</v>
      </c>
      <c r="H301" s="49">
        <v>4</v>
      </c>
      <c r="I301" s="49">
        <v>4</v>
      </c>
      <c r="J301" s="49">
        <v>3</v>
      </c>
      <c r="K301" s="49">
        <v>-1</v>
      </c>
      <c r="L301" s="49">
        <v>-20</v>
      </c>
    </row>
    <row r="302" spans="1:47" ht="24" customHeight="1">
      <c r="A302" s="50" t="s">
        <v>3</v>
      </c>
      <c r="C302" s="49" t="str">
        <f>IF(C300=C301,"Y","N")</f>
        <v>N</v>
      </c>
      <c r="D302" s="49" t="str">
        <f t="shared" ref="D302:L302" si="5">IF(D300=D301,"Y","N")</f>
        <v>N</v>
      </c>
      <c r="E302" s="49" t="str">
        <f t="shared" si="5"/>
        <v>N</v>
      </c>
      <c r="F302" s="49" t="str">
        <f t="shared" si="5"/>
        <v>N</v>
      </c>
      <c r="G302" s="49" t="str">
        <f t="shared" si="5"/>
        <v>N</v>
      </c>
      <c r="H302" s="49" t="str">
        <f t="shared" si="5"/>
        <v>N</v>
      </c>
      <c r="I302" s="49" t="str">
        <f t="shared" si="5"/>
        <v>N</v>
      </c>
      <c r="J302" s="49" t="str">
        <f t="shared" si="5"/>
        <v>N</v>
      </c>
      <c r="K302" s="49" t="str">
        <f t="shared" si="5"/>
        <v>N</v>
      </c>
      <c r="L302" s="49" t="str">
        <f t="shared" si="5"/>
        <v>N</v>
      </c>
    </row>
    <row r="303" spans="1:47" ht="24" customHeight="1">
      <c r="A303" s="50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47" ht="24" customHeight="1">
      <c r="A304" s="50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27" ht="24" customHeight="1">
      <c r="A305" s="50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27" ht="24" customHeight="1">
      <c r="A306" s="50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27" ht="24" customHeight="1">
      <c r="A307" s="50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9" spans="1:27" s="142" customFormat="1" ht="32.1">
      <c r="A309" s="142" t="s">
        <v>106</v>
      </c>
    </row>
    <row r="311" spans="1:27" ht="24" customHeight="1">
      <c r="E311" s="1"/>
      <c r="G311" t="s">
        <v>107</v>
      </c>
      <c r="J311" s="1"/>
      <c r="K311" s="1"/>
    </row>
    <row r="312" spans="1:27" ht="24" customHeight="1">
      <c r="E312" s="1"/>
      <c r="J312" s="1"/>
      <c r="K312" s="1"/>
    </row>
    <row r="313" spans="1:27" ht="24" customHeight="1">
      <c r="E313" s="1"/>
      <c r="F313" s="1" t="s">
        <v>108</v>
      </c>
      <c r="G313" s="1" t="s">
        <v>42</v>
      </c>
      <c r="H313" s="1" t="s">
        <v>43</v>
      </c>
      <c r="I313" s="1" t="s">
        <v>44</v>
      </c>
      <c r="J313" s="1" t="s">
        <v>109</v>
      </c>
      <c r="K313" s="1"/>
      <c r="R313" t="s">
        <v>110</v>
      </c>
      <c r="S313" s="1" t="s">
        <v>111</v>
      </c>
      <c r="T313" s="1" t="s">
        <v>112</v>
      </c>
      <c r="U313" s="1" t="s">
        <v>113</v>
      </c>
      <c r="V313" s="1" t="s">
        <v>114</v>
      </c>
    </row>
    <row r="314" spans="1:27" ht="24" customHeight="1">
      <c r="E314" s="1"/>
      <c r="G314" s="7">
        <v>1</v>
      </c>
      <c r="H314" s="7">
        <v>2</v>
      </c>
      <c r="I314" s="7">
        <v>1</v>
      </c>
      <c r="J314" s="7">
        <v>0</v>
      </c>
      <c r="K314" s="1"/>
      <c r="S314" s="37"/>
      <c r="T314" s="37"/>
      <c r="U314" s="37"/>
      <c r="V314" s="37"/>
    </row>
    <row r="315" spans="1:27" ht="24" customHeight="1">
      <c r="E315" s="1"/>
      <c r="F315" s="1"/>
      <c r="G315" s="8">
        <v>2</v>
      </c>
      <c r="H315" s="8">
        <v>0</v>
      </c>
      <c r="I315" s="8">
        <v>3</v>
      </c>
      <c r="J315" s="8">
        <v>1</v>
      </c>
      <c r="K315" s="1"/>
      <c r="S315" s="38"/>
      <c r="T315" s="38"/>
      <c r="U315" s="38"/>
      <c r="V315" s="38"/>
    </row>
    <row r="316" spans="1:27" ht="24" customHeight="1">
      <c r="E316" s="1"/>
      <c r="F316" s="1"/>
      <c r="G316" s="9">
        <v>1</v>
      </c>
      <c r="H316" s="9">
        <v>1</v>
      </c>
      <c r="I316" s="9">
        <v>-1</v>
      </c>
      <c r="J316" s="9">
        <v>3</v>
      </c>
      <c r="K316" s="1"/>
      <c r="T316" s="1"/>
      <c r="U316" s="1"/>
      <c r="V316" s="1"/>
    </row>
    <row r="317" spans="1:27" ht="24" customHeight="1">
      <c r="C317" t="s">
        <v>115</v>
      </c>
      <c r="E317" s="1"/>
      <c r="F317" s="1" t="s">
        <v>110</v>
      </c>
      <c r="G317" s="39" t="s">
        <v>111</v>
      </c>
      <c r="H317" s="39" t="s">
        <v>112</v>
      </c>
      <c r="I317" s="39" t="s">
        <v>113</v>
      </c>
      <c r="J317" s="39" t="s">
        <v>114</v>
      </c>
      <c r="K317" s="1"/>
      <c r="N317" t="s">
        <v>116</v>
      </c>
      <c r="S317" t="s">
        <v>117</v>
      </c>
      <c r="X317" t="s">
        <v>118</v>
      </c>
    </row>
    <row r="318" spans="1:27" ht="24" customHeight="1">
      <c r="C318" s="34">
        <v>0</v>
      </c>
      <c r="D318" s="34">
        <v>1</v>
      </c>
      <c r="E318" s="2">
        <v>1</v>
      </c>
      <c r="F318" s="1"/>
      <c r="G318" s="37"/>
      <c r="H318" s="37"/>
      <c r="I318" s="37"/>
      <c r="J318" s="37"/>
      <c r="K318" s="1"/>
      <c r="N318" s="39" t="s">
        <v>119</v>
      </c>
      <c r="O318" s="35"/>
      <c r="P318" s="36"/>
      <c r="S318" s="10"/>
      <c r="T318" s="10"/>
      <c r="U318" s="10"/>
      <c r="V318" s="10"/>
      <c r="X318" s="10"/>
      <c r="Y318" s="10"/>
      <c r="Z318" s="10"/>
      <c r="AA318" s="10"/>
    </row>
    <row r="319" spans="1:27" ht="24" customHeight="1">
      <c r="C319" s="34">
        <v>1</v>
      </c>
      <c r="D319" s="34">
        <v>0</v>
      </c>
      <c r="E319" s="2">
        <v>1</v>
      </c>
      <c r="F319" s="1"/>
      <c r="G319" s="38"/>
      <c r="H319" s="38"/>
      <c r="I319" s="38"/>
      <c r="J319" s="38"/>
      <c r="K319" s="1"/>
      <c r="N319" s="39" t="s">
        <v>120</v>
      </c>
      <c r="O319" s="35"/>
      <c r="P319" s="36"/>
      <c r="S319" s="11"/>
      <c r="T319" s="11"/>
      <c r="U319" s="11"/>
      <c r="V319" s="11"/>
      <c r="X319" s="11"/>
      <c r="Y319" s="11"/>
      <c r="Z319" s="11"/>
      <c r="AA319" s="11"/>
    </row>
    <row r="320" spans="1:27" ht="24" customHeight="1">
      <c r="C320" t="s">
        <v>121</v>
      </c>
      <c r="E320" s="1"/>
      <c r="F320" s="1" t="s">
        <v>122</v>
      </c>
      <c r="G320" s="39" t="s">
        <v>119</v>
      </c>
      <c r="H320" s="39" t="s">
        <v>120</v>
      </c>
      <c r="I320" s="39" t="s">
        <v>123</v>
      </c>
      <c r="J320" s="39" t="s">
        <v>124</v>
      </c>
      <c r="K320" s="1"/>
      <c r="N320" s="39" t="s">
        <v>123</v>
      </c>
      <c r="O320" s="35"/>
      <c r="P320" s="36"/>
      <c r="S320" s="11"/>
      <c r="T320" s="11"/>
      <c r="U320" s="11"/>
      <c r="V320" s="11"/>
      <c r="X320" s="11"/>
      <c r="Y320" s="11"/>
      <c r="Z320" s="11"/>
      <c r="AA320" s="11"/>
    </row>
    <row r="321" spans="1:27" ht="24" customHeight="1">
      <c r="C321" s="34">
        <v>0</v>
      </c>
      <c r="D321" s="34">
        <v>1</v>
      </c>
      <c r="E321" s="2">
        <v>1</v>
      </c>
      <c r="F321" s="1"/>
      <c r="G321" s="37"/>
      <c r="H321" s="37"/>
      <c r="I321" s="37"/>
      <c r="J321" s="37"/>
      <c r="K321" s="1"/>
      <c r="N321" s="39" t="s">
        <v>124</v>
      </c>
      <c r="O321" s="35"/>
      <c r="P321" s="36"/>
      <c r="S321" s="12"/>
      <c r="T321" s="12"/>
      <c r="U321" s="12"/>
      <c r="V321" s="12"/>
      <c r="X321" s="12"/>
      <c r="Y321" s="12"/>
      <c r="Z321" s="12"/>
      <c r="AA321" s="12"/>
    </row>
    <row r="322" spans="1:27" ht="24" customHeight="1">
      <c r="C322" s="34">
        <v>1</v>
      </c>
      <c r="D322" s="34">
        <v>0</v>
      </c>
      <c r="E322" s="2">
        <v>1</v>
      </c>
      <c r="F322" s="1"/>
      <c r="G322" s="38"/>
      <c r="H322" s="38"/>
      <c r="I322" s="38"/>
      <c r="J322" s="38"/>
      <c r="K322" s="1"/>
    </row>
    <row r="323" spans="1:27" ht="24" customHeight="1">
      <c r="C323" t="s">
        <v>125</v>
      </c>
      <c r="E323" s="1"/>
      <c r="F323" s="1" t="s">
        <v>126</v>
      </c>
      <c r="G323" s="1" t="s">
        <v>127</v>
      </c>
      <c r="H323" s="1" t="s">
        <v>128</v>
      </c>
      <c r="I323" s="1" t="s">
        <v>129</v>
      </c>
      <c r="J323" s="1" t="s">
        <v>130</v>
      </c>
      <c r="K323" s="1"/>
      <c r="N323" s="1" t="s">
        <v>126</v>
      </c>
      <c r="O323" s="1" t="s">
        <v>127</v>
      </c>
      <c r="P323" s="1" t="s">
        <v>128</v>
      </c>
      <c r="Q323" s="1" t="s">
        <v>129</v>
      </c>
      <c r="R323" s="1" t="s">
        <v>130</v>
      </c>
      <c r="X323" t="s">
        <v>131</v>
      </c>
    </row>
    <row r="324" spans="1:27" ht="24" customHeight="1">
      <c r="C324" s="34">
        <v>0</v>
      </c>
      <c r="D324" s="34">
        <v>1</v>
      </c>
      <c r="E324" s="2">
        <v>-1</v>
      </c>
      <c r="F324" s="1"/>
      <c r="G324" s="10"/>
      <c r="H324" s="10"/>
      <c r="I324" s="10"/>
      <c r="J324" s="10"/>
      <c r="K324" s="1"/>
      <c r="O324" s="10"/>
      <c r="P324" s="10"/>
      <c r="Q324" s="10"/>
      <c r="R324" s="10"/>
      <c r="X324" s="30"/>
      <c r="Y324" s="30"/>
      <c r="Z324" s="30"/>
      <c r="AA324" s="30"/>
    </row>
    <row r="325" spans="1:27" ht="24" customHeight="1">
      <c r="C325" s="34">
        <v>1</v>
      </c>
      <c r="D325" s="34">
        <v>-1</v>
      </c>
      <c r="E325" s="2">
        <v>0</v>
      </c>
      <c r="F325" s="1"/>
      <c r="G325" s="11"/>
      <c r="H325" s="11"/>
      <c r="I325" s="11"/>
      <c r="J325" s="11"/>
      <c r="K325" s="1"/>
      <c r="O325" s="11"/>
      <c r="P325" s="11"/>
      <c r="Q325" s="11"/>
      <c r="R325" s="11"/>
      <c r="X325" s="31"/>
      <c r="Y325" s="31"/>
      <c r="Z325" s="31"/>
      <c r="AA325" s="31"/>
    </row>
    <row r="326" spans="1:27" ht="24" customHeight="1">
      <c r="C326" s="34">
        <v>1</v>
      </c>
      <c r="D326" s="34">
        <v>0</v>
      </c>
      <c r="E326" s="2">
        <v>-1</v>
      </c>
      <c r="F326" s="1"/>
      <c r="G326" s="12"/>
      <c r="H326" s="12"/>
      <c r="I326" s="12"/>
      <c r="J326" s="12"/>
      <c r="K326" s="1"/>
      <c r="O326" s="12"/>
      <c r="P326" s="12"/>
      <c r="Q326" s="12"/>
      <c r="R326" s="12"/>
      <c r="X326" s="32"/>
      <c r="Y326" s="32"/>
      <c r="Z326" s="32"/>
      <c r="AA326" s="32"/>
    </row>
    <row r="327" spans="1:27" ht="24" customHeight="1">
      <c r="E327" s="1"/>
      <c r="F327" s="1"/>
      <c r="H327" s="1"/>
      <c r="I327" s="1"/>
      <c r="J327" s="1"/>
      <c r="X327" s="1" t="s">
        <v>17</v>
      </c>
      <c r="Y327" s="1" t="s">
        <v>18</v>
      </c>
      <c r="Z327" s="1" t="s">
        <v>19</v>
      </c>
      <c r="AA327" s="1" t="s">
        <v>20</v>
      </c>
    </row>
    <row r="329" spans="1:27" s="51" customFormat="1" ht="24" customHeight="1"/>
    <row r="330" spans="1:27" ht="24" customHeight="1">
      <c r="C330" s="1">
        <v>1</v>
      </c>
      <c r="D330" s="1">
        <v>2</v>
      </c>
      <c r="E330" s="1">
        <v>3</v>
      </c>
      <c r="F330" s="1">
        <v>4</v>
      </c>
      <c r="G330" s="1">
        <v>5</v>
      </c>
      <c r="H330" s="1">
        <v>6</v>
      </c>
      <c r="I330" s="1">
        <v>7</v>
      </c>
      <c r="J330" s="1">
        <v>8</v>
      </c>
      <c r="K330" s="1">
        <v>9</v>
      </c>
      <c r="L330" s="1">
        <v>10</v>
      </c>
    </row>
    <row r="331" spans="1:27" ht="24" customHeight="1">
      <c r="A331" s="50" t="s">
        <v>1</v>
      </c>
      <c r="B331" s="50"/>
      <c r="C331" s="49">
        <f>J318</f>
        <v>0</v>
      </c>
      <c r="D331" s="49">
        <f>H322</f>
        <v>0</v>
      </c>
      <c r="E331" s="49">
        <f>I325</f>
        <v>0</v>
      </c>
      <c r="F331" s="49">
        <f>Q325</f>
        <v>0</v>
      </c>
      <c r="G331" s="49">
        <f>P319</f>
        <v>0</v>
      </c>
      <c r="H331" s="49">
        <f>T314</f>
        <v>0</v>
      </c>
      <c r="I331" s="49">
        <f>V320</f>
        <v>0</v>
      </c>
      <c r="J331" s="49">
        <f>Z325</f>
        <v>0</v>
      </c>
      <c r="K331" s="49">
        <f>Z318</f>
        <v>0</v>
      </c>
      <c r="L331" s="49">
        <f>Y319</f>
        <v>0</v>
      </c>
    </row>
    <row r="332" spans="1:27" ht="24" customHeight="1">
      <c r="A332" s="50" t="s">
        <v>2</v>
      </c>
      <c r="B332" s="50"/>
      <c r="C332" s="49">
        <v>4</v>
      </c>
      <c r="D332" s="49">
        <v>3</v>
      </c>
      <c r="E332" s="49">
        <v>-2</v>
      </c>
      <c r="F332" s="49">
        <v>-2</v>
      </c>
      <c r="G332" s="49">
        <v>3</v>
      </c>
      <c r="H332" s="49">
        <v>1</v>
      </c>
      <c r="I332" s="49">
        <v>5.6568542494923797</v>
      </c>
      <c r="J332" s="49">
        <v>-1.0121502768921697</v>
      </c>
      <c r="K332" s="49">
        <v>0.18465608191429309</v>
      </c>
      <c r="L332" s="49">
        <v>0.10163937298404591</v>
      </c>
    </row>
    <row r="333" spans="1:27" ht="24" customHeight="1">
      <c r="A333" s="50" t="s">
        <v>3</v>
      </c>
      <c r="C333" s="49" t="str">
        <f>IF(C331=C332,"Y","N")</f>
        <v>N</v>
      </c>
      <c r="D333" s="49" t="str">
        <f t="shared" ref="D333:L333" si="6">IF(D331=D332,"Y","N")</f>
        <v>N</v>
      </c>
      <c r="E333" s="49" t="str">
        <f t="shared" si="6"/>
        <v>N</v>
      </c>
      <c r="F333" s="49" t="str">
        <f t="shared" si="6"/>
        <v>N</v>
      </c>
      <c r="G333" s="49" t="str">
        <f t="shared" si="6"/>
        <v>N</v>
      </c>
      <c r="H333" s="49" t="str">
        <f t="shared" si="6"/>
        <v>N</v>
      </c>
      <c r="I333" s="49" t="str">
        <f t="shared" si="6"/>
        <v>N</v>
      </c>
      <c r="J333" s="49" t="str">
        <f t="shared" si="6"/>
        <v>N</v>
      </c>
      <c r="K333" s="49" t="str">
        <f t="shared" si="6"/>
        <v>N</v>
      </c>
      <c r="L333" s="49" t="str">
        <f t="shared" si="6"/>
        <v>N</v>
      </c>
    </row>
    <row r="340" spans="1:16" s="142" customFormat="1" ht="32.1">
      <c r="A340" s="142" t="s">
        <v>132</v>
      </c>
    </row>
    <row r="345" spans="1:16" ht="24" customHeight="1">
      <c r="K345" s="27">
        <v>1.2953155353966199</v>
      </c>
      <c r="L345" s="27">
        <v>1.2953155353966199</v>
      </c>
      <c r="M345" s="27">
        <v>1</v>
      </c>
      <c r="N345" s="27">
        <v>1.1962841671185438</v>
      </c>
      <c r="O345" s="27">
        <v>0.82193218838275417</v>
      </c>
      <c r="P345" s="27">
        <v>1.2953155353966199</v>
      </c>
    </row>
    <row r="346" spans="1:16" ht="24" customHeight="1">
      <c r="K346" s="29">
        <v>-0.95844971070312401</v>
      </c>
      <c r="L346" s="29">
        <v>-0.95844971070312401</v>
      </c>
      <c r="M346" s="29">
        <v>-0.40111209267978593</v>
      </c>
      <c r="N346" s="29">
        <v>-0.81173005130679043</v>
      </c>
      <c r="O346" s="29">
        <v>0.42481630295866324</v>
      </c>
      <c r="P346" s="29">
        <v>-0.95844971070312401</v>
      </c>
    </row>
    <row r="347" spans="1:16" ht="24" customHeight="1">
      <c r="K347" s="28">
        <v>0.33686582469349596</v>
      </c>
      <c r="L347" s="28">
        <v>0.33686582469349596</v>
      </c>
      <c r="M347" s="28">
        <v>0.59888790732021402</v>
      </c>
      <c r="N347" s="28">
        <v>0.38455411581175353</v>
      </c>
      <c r="O347" s="28">
        <v>1.2467484913414173</v>
      </c>
      <c r="P347" s="28">
        <v>0.33686582469349596</v>
      </c>
    </row>
    <row r="348" spans="1:16" ht="24" customHeight="1"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</row>
    <row r="349" spans="1:16" ht="24" customHeight="1">
      <c r="F349" s="1" t="s">
        <v>102</v>
      </c>
      <c r="G349" s="1"/>
      <c r="H349" s="1"/>
      <c r="I349" s="1" t="s">
        <v>63</v>
      </c>
      <c r="J349" s="1"/>
      <c r="K349" s="1"/>
      <c r="M349" s="1"/>
      <c r="N349" s="1"/>
    </row>
    <row r="350" spans="1:16" ht="24" customHeight="1">
      <c r="F350" s="2">
        <v>1</v>
      </c>
      <c r="G350" s="2">
        <v>-1</v>
      </c>
      <c r="H350" s="2">
        <v>1</v>
      </c>
      <c r="I350" s="13">
        <v>1</v>
      </c>
      <c r="J350" s="1"/>
      <c r="K350" s="10"/>
      <c r="L350" s="10"/>
      <c r="M350" s="10"/>
      <c r="N350" s="10"/>
      <c r="O350" s="10"/>
      <c r="P350" s="10"/>
    </row>
    <row r="351" spans="1:16" ht="24" customHeight="1">
      <c r="F351" s="2">
        <v>1</v>
      </c>
      <c r="G351" s="2">
        <v>0</v>
      </c>
      <c r="H351" s="2">
        <v>2</v>
      </c>
      <c r="I351" s="13">
        <v>-3</v>
      </c>
      <c r="J351" s="1"/>
      <c r="K351" s="11"/>
      <c r="L351" s="11"/>
      <c r="M351" s="11"/>
      <c r="N351" s="11"/>
      <c r="O351" s="11"/>
      <c r="P351" s="11"/>
    </row>
    <row r="352" spans="1:16" ht="24" customHeight="1">
      <c r="F352" s="2">
        <v>1</v>
      </c>
      <c r="G352" s="2">
        <v>0</v>
      </c>
      <c r="H352" s="2">
        <v>1</v>
      </c>
      <c r="I352" s="13">
        <v>2</v>
      </c>
      <c r="J352" s="1"/>
      <c r="K352" s="11"/>
      <c r="L352" s="11"/>
      <c r="M352" s="11"/>
      <c r="N352" s="11"/>
      <c r="O352" s="11"/>
      <c r="P352" s="11"/>
    </row>
    <row r="353" spans="5:16" ht="24" customHeight="1">
      <c r="F353" s="2">
        <v>0</v>
      </c>
      <c r="G353" s="2">
        <v>0</v>
      </c>
      <c r="H353" s="2">
        <v>-1</v>
      </c>
      <c r="I353" s="13">
        <v>0</v>
      </c>
      <c r="J353" s="1"/>
      <c r="K353" s="12"/>
      <c r="L353" s="12"/>
      <c r="M353" s="12"/>
      <c r="N353" s="12"/>
      <c r="O353" s="12"/>
      <c r="P353" s="12"/>
    </row>
    <row r="354" spans="5:16" ht="24" customHeight="1">
      <c r="E354" s="1"/>
      <c r="F354" s="1"/>
      <c r="G354" s="1"/>
      <c r="H354" s="1"/>
      <c r="I354" s="1"/>
      <c r="J354" s="1"/>
      <c r="K354" s="1"/>
      <c r="M354" s="1"/>
      <c r="N354" s="1"/>
    </row>
    <row r="355" spans="5:16" ht="24" customHeight="1">
      <c r="E355" s="1"/>
      <c r="F355" s="1"/>
      <c r="G355" t="s">
        <v>93</v>
      </c>
      <c r="H355" s="1"/>
      <c r="I355" s="1"/>
      <c r="J355" s="1"/>
      <c r="K355" s="10"/>
      <c r="L355" s="10"/>
      <c r="M355" s="10"/>
      <c r="N355" s="10"/>
      <c r="O355" s="10"/>
      <c r="P355" s="10"/>
    </row>
    <row r="356" spans="5:16" ht="24" customHeight="1">
      <c r="E356" s="1"/>
      <c r="F356" s="1"/>
      <c r="G356" s="1"/>
      <c r="H356" s="1"/>
      <c r="I356" s="1"/>
      <c r="J356" s="1"/>
      <c r="K356" s="11"/>
      <c r="L356" s="11"/>
      <c r="M356" s="11"/>
      <c r="N356" s="11"/>
      <c r="O356" s="11"/>
      <c r="P356" s="11"/>
    </row>
    <row r="357" spans="5:16" ht="24" customHeight="1">
      <c r="E357" s="1"/>
      <c r="F357" s="1"/>
      <c r="G357" s="1"/>
      <c r="H357" s="1"/>
      <c r="I357" s="1"/>
      <c r="J357" s="1"/>
      <c r="K357" s="11"/>
      <c r="L357" s="11"/>
      <c r="M357" s="11"/>
      <c r="N357" s="11"/>
      <c r="O357" s="11"/>
      <c r="P357" s="11"/>
    </row>
    <row r="358" spans="5:16" ht="24" customHeight="1">
      <c r="E358" s="1"/>
      <c r="F358" s="1"/>
      <c r="G358" s="1"/>
      <c r="H358" s="1"/>
      <c r="I358" s="1"/>
      <c r="J358" s="1"/>
      <c r="K358" s="12"/>
      <c r="L358" s="12"/>
      <c r="M358" s="12"/>
      <c r="N358" s="12"/>
      <c r="O358" s="12"/>
      <c r="P358" s="12"/>
    </row>
    <row r="359" spans="5:16" ht="24" customHeight="1">
      <c r="E359" s="3" t="s">
        <v>101</v>
      </c>
      <c r="F359" s="1"/>
      <c r="G359" s="1"/>
      <c r="H359" s="1"/>
      <c r="I359" s="1"/>
      <c r="J359" s="1"/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</row>
    <row r="360" spans="5:16" ht="24" customHeight="1">
      <c r="E360" s="1" t="s">
        <v>102</v>
      </c>
      <c r="F360" s="1"/>
      <c r="G360" s="1"/>
      <c r="H360" s="1"/>
      <c r="I360" s="1" t="s">
        <v>63</v>
      </c>
      <c r="J360" s="3"/>
      <c r="K360" s="1"/>
      <c r="M360" s="3"/>
      <c r="N360" s="1"/>
      <c r="O360" s="1"/>
      <c r="P360" s="1"/>
    </row>
    <row r="361" spans="5:16" ht="24" customHeight="1">
      <c r="E361" s="2">
        <v>1</v>
      </c>
      <c r="F361" s="2">
        <v>-1</v>
      </c>
      <c r="G361" s="2">
        <v>0</v>
      </c>
      <c r="H361" s="2">
        <v>0</v>
      </c>
      <c r="I361" s="13">
        <v>0</v>
      </c>
      <c r="K361" s="10"/>
      <c r="L361" s="10"/>
      <c r="M361" s="10"/>
      <c r="N361" s="10"/>
      <c r="O361" s="10"/>
      <c r="P361" s="10"/>
    </row>
    <row r="362" spans="5:16" ht="24" customHeight="1">
      <c r="E362" s="2">
        <v>0</v>
      </c>
      <c r="F362" s="2">
        <v>1</v>
      </c>
      <c r="G362" s="2">
        <v>0</v>
      </c>
      <c r="H362" s="2">
        <v>1</v>
      </c>
      <c r="I362" s="13">
        <v>5</v>
      </c>
      <c r="K362" s="11"/>
      <c r="L362" s="11"/>
      <c r="M362" s="11"/>
      <c r="N362" s="11"/>
      <c r="O362" s="11"/>
      <c r="P362" s="11"/>
    </row>
    <row r="363" spans="5:16" ht="24" customHeight="1">
      <c r="E363" s="2">
        <v>0</v>
      </c>
      <c r="F363" s="2">
        <v>0</v>
      </c>
      <c r="G363" s="2">
        <v>1</v>
      </c>
      <c r="H363" s="2">
        <v>-1</v>
      </c>
      <c r="I363" s="13">
        <v>-3</v>
      </c>
      <c r="K363" s="12"/>
      <c r="L363" s="12"/>
      <c r="M363" s="12"/>
      <c r="N363" s="12"/>
      <c r="O363" s="12"/>
      <c r="P363" s="12"/>
    </row>
    <row r="365" spans="5:16" ht="24" customHeight="1">
      <c r="G365" t="s">
        <v>93</v>
      </c>
      <c r="K365" s="10"/>
      <c r="L365" s="10"/>
      <c r="M365" s="10"/>
      <c r="N365" s="10"/>
      <c r="O365" s="10"/>
      <c r="P365" s="10"/>
    </row>
    <row r="366" spans="5:16" ht="24" customHeight="1">
      <c r="K366" s="11"/>
      <c r="L366" s="11"/>
      <c r="M366" s="11"/>
      <c r="N366" s="11"/>
      <c r="O366" s="11"/>
      <c r="P366" s="11"/>
    </row>
    <row r="367" spans="5:16" ht="24" customHeight="1">
      <c r="J367" s="26"/>
      <c r="K367" s="12"/>
      <c r="L367" s="12"/>
      <c r="M367" s="12"/>
      <c r="N367" s="12"/>
      <c r="O367" s="12"/>
      <c r="P367" s="12"/>
    </row>
    <row r="370" spans="1:34" s="51" customFormat="1" ht="24" customHeight="1"/>
    <row r="371" spans="1:34" ht="24" customHeight="1">
      <c r="C371" s="1">
        <v>1</v>
      </c>
      <c r="D371" s="1">
        <v>2</v>
      </c>
      <c r="E371" s="1">
        <v>3</v>
      </c>
      <c r="F371" s="1">
        <v>4</v>
      </c>
      <c r="G371" s="1">
        <v>5</v>
      </c>
    </row>
    <row r="372" spans="1:34" ht="24" customHeight="1">
      <c r="A372" s="50" t="s">
        <v>1</v>
      </c>
      <c r="B372" s="50"/>
      <c r="C372" s="49">
        <f>L351</f>
        <v>0</v>
      </c>
      <c r="D372" s="49">
        <f>N356</f>
        <v>0</v>
      </c>
      <c r="E372" s="49">
        <f>P362</f>
        <v>0</v>
      </c>
      <c r="F372" s="49">
        <f>L366</f>
        <v>0</v>
      </c>
      <c r="G372" s="49">
        <f>P367</f>
        <v>0</v>
      </c>
    </row>
    <row r="373" spans="1:34" ht="24" customHeight="1">
      <c r="A373" s="50" t="s">
        <v>2</v>
      </c>
      <c r="B373" s="50"/>
      <c r="C373" s="49">
        <v>-1.0309528152163883</v>
      </c>
      <c r="D373" s="49">
        <v>0</v>
      </c>
      <c r="E373" s="49">
        <v>5</v>
      </c>
      <c r="F373" s="49">
        <v>5</v>
      </c>
      <c r="G373" s="49">
        <v>0.63218136009011605</v>
      </c>
    </row>
    <row r="374" spans="1:34" ht="24" customHeight="1">
      <c r="A374" s="50" t="s">
        <v>3</v>
      </c>
      <c r="C374" s="49" t="str">
        <f>IF(C372=C373,"Y","N")</f>
        <v>N</v>
      </c>
      <c r="D374" s="49" t="str">
        <f>IF(D372=D373,"Y","N")</f>
        <v>Y</v>
      </c>
      <c r="E374" s="49" t="str">
        <f>IF(E372=E373,"Y","N")</f>
        <v>N</v>
      </c>
      <c r="F374" s="49" t="str">
        <f>IF(F372=F373,"Y","N")</f>
        <v>N</v>
      </c>
      <c r="G374" s="49" t="str">
        <f>IF(G372=G373,"Y","N")</f>
        <v>N</v>
      </c>
    </row>
    <row r="381" spans="1:34" s="142" customFormat="1" ht="32.1">
      <c r="A381" s="142" t="s">
        <v>133</v>
      </c>
    </row>
    <row r="383" spans="1:34" ht="24" customHeight="1">
      <c r="Z383" s="111">
        <v>1.1764705882352941E-2</v>
      </c>
      <c r="AA383" s="111">
        <v>4.3137254901960784E-2</v>
      </c>
      <c r="AB383" s="111">
        <v>0.62352941176470589</v>
      </c>
      <c r="AC383" s="111">
        <v>0.61568627450980395</v>
      </c>
      <c r="AD383" s="111">
        <v>0.61960784313725492</v>
      </c>
      <c r="AE383" s="111">
        <v>0.61960784313725492</v>
      </c>
      <c r="AF383" s="111">
        <v>0.7803921568627451</v>
      </c>
      <c r="AG383" s="111">
        <v>0</v>
      </c>
      <c r="AH383" s="111">
        <v>4.7058823529411764E-2</v>
      </c>
    </row>
    <row r="384" spans="1:34" ht="24" customHeight="1">
      <c r="Z384" s="111">
        <v>1.1764705882352941E-2</v>
      </c>
      <c r="AA384" s="111">
        <v>0.6</v>
      </c>
      <c r="AB384" s="111">
        <v>6.2745098039215685E-2</v>
      </c>
      <c r="AC384" s="111">
        <v>0.56862745098039214</v>
      </c>
      <c r="AD384" s="111">
        <v>3.1372549019607843E-2</v>
      </c>
      <c r="AE384" s="111">
        <v>0.5490196078431373</v>
      </c>
      <c r="AF384" s="111">
        <v>4.7058823529411764E-2</v>
      </c>
      <c r="AG384" s="111">
        <v>3.9215686274509803E-2</v>
      </c>
      <c r="AH384" s="111">
        <v>2.3529411764705882E-2</v>
      </c>
    </row>
    <row r="385" spans="24:34" ht="24" customHeight="1">
      <c r="Z385" s="111">
        <v>1.1764705882352941E-2</v>
      </c>
      <c r="AA385" s="111">
        <v>0.62745098039215685</v>
      </c>
      <c r="AB385" s="111">
        <v>0.5725490196078431</v>
      </c>
      <c r="AC385" s="111">
        <v>0.61568627450980395</v>
      </c>
      <c r="AD385" s="111">
        <v>0.62745098039215685</v>
      </c>
      <c r="AE385" s="111">
        <v>0.60392156862745094</v>
      </c>
      <c r="AF385" s="111">
        <v>0.7803921568627451</v>
      </c>
      <c r="AG385" s="111">
        <v>5.0980392156862744E-2</v>
      </c>
      <c r="AH385" s="111">
        <v>1.9607843137254902E-2</v>
      </c>
    </row>
    <row r="386" spans="24:34" ht="24" customHeight="1">
      <c r="Z386" s="111">
        <v>1.1764705882352941E-2</v>
      </c>
      <c r="AA386" s="111">
        <v>1.9607843137254902E-2</v>
      </c>
      <c r="AB386" s="111">
        <v>4.3137254901960784E-2</v>
      </c>
      <c r="AC386" s="111">
        <v>0.9137254901960784</v>
      </c>
      <c r="AD386" s="111">
        <v>0.92156862745098034</v>
      </c>
      <c r="AE386" s="111">
        <v>0.59215686274509804</v>
      </c>
      <c r="AF386" s="111">
        <v>0</v>
      </c>
      <c r="AG386" s="111">
        <v>4.7058823529411764E-2</v>
      </c>
      <c r="AH386" s="111">
        <v>6.6666666666666666E-2</v>
      </c>
    </row>
    <row r="387" spans="24:34" ht="24" customHeight="1">
      <c r="Z387" s="111">
        <v>1.1764705882352941E-2</v>
      </c>
      <c r="AA387" s="111">
        <v>1.5686274509803921E-2</v>
      </c>
      <c r="AB387" s="111">
        <v>0.57647058823529407</v>
      </c>
      <c r="AC387" s="111">
        <v>0.94509803921568625</v>
      </c>
      <c r="AD387" s="111">
        <v>0.9137254901960784</v>
      </c>
      <c r="AE387" s="111">
        <v>0.55294117647058827</v>
      </c>
      <c r="AF387" s="111">
        <v>0.74901960784313726</v>
      </c>
      <c r="AG387" s="111">
        <v>7.4509803921568626E-2</v>
      </c>
      <c r="AH387" s="111">
        <v>2.3529411764705882E-2</v>
      </c>
    </row>
    <row r="388" spans="24:34" ht="24" customHeight="1">
      <c r="Z388" s="111">
        <v>1.1764705882352941E-2</v>
      </c>
      <c r="AA388" s="111">
        <v>1.1764705882352941E-2</v>
      </c>
      <c r="AB388" s="111">
        <v>7.8431372549019607E-3</v>
      </c>
      <c r="AC388" s="111">
        <v>0.91764705882352937</v>
      </c>
      <c r="AD388" s="111">
        <v>0.90588235294117647</v>
      </c>
      <c r="AE388" s="111">
        <v>0.62745098039215685</v>
      </c>
      <c r="AF388" s="111">
        <v>5.4901960784313725E-2</v>
      </c>
      <c r="AG388" s="111">
        <v>1.1764705882352941E-2</v>
      </c>
      <c r="AH388" s="111">
        <v>0.61176470588235299</v>
      </c>
    </row>
    <row r="389" spans="24:34" ht="24" customHeight="1">
      <c r="Z389" s="111">
        <v>1.1764705882352941E-2</v>
      </c>
      <c r="AA389" s="111">
        <v>7.8431372549019607E-3</v>
      </c>
      <c r="AB389" s="111">
        <v>2.3529411764705882E-2</v>
      </c>
      <c r="AC389" s="111">
        <v>0.89411764705882357</v>
      </c>
      <c r="AD389" s="111">
        <v>0.90980392156862744</v>
      </c>
      <c r="AE389" s="111">
        <v>0.5725490196078431</v>
      </c>
      <c r="AF389" s="111">
        <v>0.5607843137254902</v>
      </c>
      <c r="AG389" s="111">
        <v>0.60784313725490191</v>
      </c>
      <c r="AH389" s="111">
        <v>2.3529411764705882E-2</v>
      </c>
    </row>
    <row r="390" spans="24:34" ht="24" customHeight="1">
      <c r="Z390" s="111">
        <v>1.1764705882352941E-2</v>
      </c>
      <c r="AA390" s="111">
        <v>6.2745098039215685E-2</v>
      </c>
      <c r="AB390" s="111">
        <v>5.8823529411764705E-2</v>
      </c>
      <c r="AC390" s="111">
        <v>0.56470588235294117</v>
      </c>
      <c r="AD390" s="111">
        <v>5.0980392156862744E-2</v>
      </c>
      <c r="AE390" s="111">
        <v>0.60392156862745094</v>
      </c>
      <c r="AF390" s="111">
        <v>5.8823529411764705E-2</v>
      </c>
      <c r="AG390" s="111">
        <v>6.6666666666666666E-2</v>
      </c>
      <c r="AH390" s="111">
        <v>1.1764705882352941E-2</v>
      </c>
    </row>
    <row r="391" spans="24:34" ht="24" customHeight="1">
      <c r="Z391" s="111">
        <v>1.1764705882352941E-2</v>
      </c>
      <c r="AA391" s="111">
        <v>6.2745098039215685E-2</v>
      </c>
      <c r="AB391" s="111">
        <v>6.2745098039215685E-2</v>
      </c>
      <c r="AC391" s="111">
        <v>6.2745098039215685E-2</v>
      </c>
      <c r="AD391" s="111">
        <v>6.2745098039215685E-2</v>
      </c>
      <c r="AE391" s="111">
        <v>6.2745098039215685E-2</v>
      </c>
      <c r="AF391" s="111">
        <v>6.2745098039215685E-2</v>
      </c>
      <c r="AG391" s="111">
        <v>6.2745098039215685E-2</v>
      </c>
      <c r="AH391" s="111">
        <v>6.2745098039215685E-2</v>
      </c>
    </row>
    <row r="393" spans="24:34" ht="24" customHeight="1">
      <c r="Z393" t="s">
        <v>134</v>
      </c>
    </row>
    <row r="394" spans="24:34" ht="24" customHeight="1">
      <c r="X394" t="s">
        <v>135</v>
      </c>
      <c r="Z394" s="37"/>
      <c r="AA394" s="37"/>
      <c r="AB394" s="37"/>
      <c r="AC394" s="37"/>
      <c r="AD394" s="37"/>
      <c r="AE394" s="37"/>
      <c r="AF394" s="37"/>
      <c r="AG394" s="37"/>
      <c r="AH394" s="37"/>
    </row>
    <row r="395" spans="24:34" ht="24" customHeight="1">
      <c r="Z395" s="87"/>
      <c r="AA395" s="87"/>
      <c r="AB395" s="87"/>
      <c r="AC395" s="87"/>
      <c r="AD395" s="87"/>
      <c r="AE395" s="87"/>
      <c r="AF395" s="87"/>
      <c r="AG395" s="87"/>
      <c r="AH395" s="87"/>
    </row>
    <row r="396" spans="24:34" ht="24" customHeight="1">
      <c r="Z396" s="87"/>
      <c r="AA396" s="87"/>
      <c r="AB396" s="87"/>
      <c r="AC396" s="87"/>
      <c r="AD396" s="87"/>
      <c r="AE396" s="87"/>
      <c r="AF396" s="87"/>
      <c r="AG396" s="87"/>
      <c r="AH396" s="87"/>
    </row>
    <row r="397" spans="24:34" ht="24" customHeight="1">
      <c r="Z397" s="87"/>
      <c r="AA397" s="87"/>
      <c r="AB397" s="87"/>
      <c r="AC397" s="87"/>
      <c r="AD397" s="87"/>
      <c r="AE397" s="87"/>
      <c r="AF397" s="87"/>
      <c r="AG397" s="87"/>
      <c r="AH397" s="87"/>
    </row>
    <row r="398" spans="24:34" ht="24" customHeight="1">
      <c r="Z398" s="87"/>
      <c r="AA398" s="87"/>
      <c r="AB398" s="87"/>
      <c r="AC398" s="87"/>
      <c r="AD398" s="87"/>
      <c r="AE398" s="87"/>
      <c r="AF398" s="87"/>
      <c r="AG398" s="87"/>
      <c r="AH398" s="87"/>
    </row>
    <row r="399" spans="24:34" ht="24" customHeight="1">
      <c r="Z399" s="87"/>
      <c r="AA399" s="87"/>
      <c r="AB399" s="87"/>
      <c r="AC399" s="87"/>
      <c r="AD399" s="87"/>
      <c r="AE399" s="87"/>
      <c r="AF399" s="87"/>
      <c r="AG399" s="87"/>
      <c r="AH399" s="87"/>
    </row>
    <row r="400" spans="24:34" ht="24" customHeight="1">
      <c r="Z400" s="87"/>
      <c r="AA400" s="87"/>
      <c r="AB400" s="87"/>
      <c r="AC400" s="87"/>
      <c r="AD400" s="87"/>
      <c r="AE400" s="87"/>
      <c r="AF400" s="87"/>
      <c r="AG400" s="87"/>
      <c r="AH400" s="87"/>
    </row>
    <row r="401" spans="14:34" ht="24" customHeight="1" thickBot="1">
      <c r="N401" t="s">
        <v>136</v>
      </c>
      <c r="Z401" s="87"/>
      <c r="AA401" s="87"/>
      <c r="AB401" s="87"/>
      <c r="AC401" s="87"/>
      <c r="AD401" s="87"/>
      <c r="AE401" s="87"/>
      <c r="AF401" s="87"/>
      <c r="AG401" s="87"/>
      <c r="AH401" s="87"/>
    </row>
    <row r="402" spans="14:34" ht="24" customHeight="1" thickTop="1" thickBot="1">
      <c r="N402" s="112"/>
      <c r="Z402" s="38"/>
      <c r="AA402" s="38"/>
      <c r="AB402" s="38"/>
      <c r="AC402" s="38"/>
      <c r="AD402" s="38"/>
      <c r="AE402" s="38"/>
      <c r="AF402" s="38"/>
      <c r="AG402" s="38"/>
      <c r="AH402" s="38"/>
    </row>
    <row r="403" spans="14:34" ht="24" customHeight="1" thickTop="1"/>
    <row r="404" spans="14:34" ht="24" customHeight="1" thickBot="1">
      <c r="Z404" t="s">
        <v>137</v>
      </c>
    </row>
    <row r="405" spans="14:34" ht="24" customHeight="1" thickTop="1">
      <c r="N405" s="113">
        <v>1</v>
      </c>
      <c r="O405" s="114">
        <v>0</v>
      </c>
      <c r="P405" s="114">
        <v>1</v>
      </c>
      <c r="Q405" s="114">
        <v>-1</v>
      </c>
      <c r="R405" s="114">
        <v>-1</v>
      </c>
      <c r="S405" s="114">
        <v>1</v>
      </c>
      <c r="T405" s="114">
        <v>1</v>
      </c>
      <c r="U405" s="114">
        <v>0</v>
      </c>
      <c r="V405" s="115">
        <v>0</v>
      </c>
      <c r="Z405" s="116"/>
      <c r="AA405" s="116"/>
      <c r="AB405" s="116"/>
      <c r="AC405" s="116"/>
      <c r="AD405" s="116"/>
      <c r="AE405" s="116"/>
      <c r="AF405" s="116"/>
      <c r="AG405" s="116"/>
      <c r="AH405" s="116"/>
    </row>
    <row r="406" spans="14:34" ht="24" customHeight="1">
      <c r="N406" s="117">
        <v>0</v>
      </c>
      <c r="O406" s="1">
        <v>0</v>
      </c>
      <c r="P406" s="1">
        <v>0</v>
      </c>
      <c r="Q406" s="1">
        <v>1</v>
      </c>
      <c r="R406" s="1">
        <v>-1</v>
      </c>
      <c r="S406" s="1">
        <v>0</v>
      </c>
      <c r="T406" s="1">
        <v>0</v>
      </c>
      <c r="U406" s="1">
        <v>1</v>
      </c>
      <c r="V406" s="118">
        <v>0</v>
      </c>
      <c r="Z406" s="116"/>
      <c r="AA406" s="116"/>
      <c r="AB406" s="116"/>
      <c r="AC406" s="116"/>
      <c r="AD406" s="116"/>
      <c r="AE406" s="116"/>
      <c r="AF406" s="116"/>
      <c r="AG406" s="116"/>
      <c r="AH406" s="116"/>
    </row>
    <row r="407" spans="14:34" ht="24" customHeight="1">
      <c r="N407" s="117">
        <v>0</v>
      </c>
      <c r="O407" s="1">
        <v>0</v>
      </c>
      <c r="P407" s="1">
        <v>1</v>
      </c>
      <c r="Q407" s="1">
        <v>-1</v>
      </c>
      <c r="R407" s="1">
        <v>-1</v>
      </c>
      <c r="S407" s="1">
        <v>0</v>
      </c>
      <c r="T407" s="1">
        <v>0</v>
      </c>
      <c r="U407" s="1">
        <v>1</v>
      </c>
      <c r="V407" s="118">
        <v>1</v>
      </c>
      <c r="Z407" s="116"/>
      <c r="AA407" s="116"/>
      <c r="AB407" s="116"/>
      <c r="AC407" s="116"/>
      <c r="AD407" s="116"/>
      <c r="AE407" s="116"/>
      <c r="AF407" s="116"/>
      <c r="AG407" s="116"/>
      <c r="AH407" s="116"/>
    </row>
    <row r="408" spans="14:34" ht="24" customHeight="1">
      <c r="N408" s="117">
        <v>1</v>
      </c>
      <c r="O408" s="1">
        <v>0</v>
      </c>
      <c r="P408" s="1">
        <v>1</v>
      </c>
      <c r="Q408" s="1">
        <v>0</v>
      </c>
      <c r="R408" s="1">
        <v>0</v>
      </c>
      <c r="S408" s="1">
        <v>1</v>
      </c>
      <c r="T408" s="1">
        <v>0</v>
      </c>
      <c r="U408" s="1">
        <v>0</v>
      </c>
      <c r="V408" s="118">
        <v>0</v>
      </c>
      <c r="Z408" s="116"/>
      <c r="AA408" s="116"/>
      <c r="AB408" s="116"/>
      <c r="AC408" s="116"/>
      <c r="AD408" s="116"/>
      <c r="AE408" s="116"/>
      <c r="AF408" s="116"/>
      <c r="AG408" s="116"/>
      <c r="AH408" s="116"/>
    </row>
    <row r="409" spans="14:34" ht="24" customHeight="1" thickBot="1">
      <c r="N409" s="119">
        <v>1</v>
      </c>
      <c r="O409" s="120">
        <v>-1</v>
      </c>
      <c r="P409" s="120">
        <v>1</v>
      </c>
      <c r="Q409" s="120">
        <v>0</v>
      </c>
      <c r="R409" s="120">
        <v>1</v>
      </c>
      <c r="S409" s="120">
        <v>-1</v>
      </c>
      <c r="T409" s="120">
        <v>1</v>
      </c>
      <c r="U409" s="120">
        <v>1</v>
      </c>
      <c r="V409" s="121">
        <v>0</v>
      </c>
      <c r="Z409" s="116"/>
      <c r="AA409" s="116"/>
      <c r="AB409" s="116"/>
      <c r="AC409" s="116"/>
      <c r="AD409" s="116"/>
      <c r="AE409" s="116"/>
      <c r="AF409" s="116"/>
      <c r="AG409" s="116"/>
      <c r="AH409" s="116"/>
    </row>
    <row r="410" spans="14:34" ht="24" customHeight="1" thickTop="1"/>
    <row r="411" spans="14:34" ht="24" customHeight="1" thickBot="1">
      <c r="Y411" s="1" t="s">
        <v>138</v>
      </c>
    </row>
    <row r="412" spans="14:34" ht="24" customHeight="1" thickTop="1">
      <c r="U412" t="s">
        <v>139</v>
      </c>
      <c r="Y412" s="122">
        <v>1</v>
      </c>
    </row>
    <row r="413" spans="14:34" ht="24" customHeight="1">
      <c r="U413" t="s">
        <v>140</v>
      </c>
      <c r="Y413" s="123">
        <v>1</v>
      </c>
    </row>
    <row r="414" spans="14:34" ht="24" customHeight="1">
      <c r="Y414" s="123">
        <v>0</v>
      </c>
    </row>
    <row r="415" spans="14:34" ht="24" customHeight="1">
      <c r="Y415" s="123">
        <v>-1</v>
      </c>
    </row>
    <row r="416" spans="14:34" ht="24" customHeight="1" thickBot="1">
      <c r="Y416" s="124">
        <v>1</v>
      </c>
    </row>
    <row r="417" spans="21:34" ht="24" customHeight="1" thickTop="1"/>
    <row r="418" spans="21:34" ht="24" customHeight="1" thickBot="1">
      <c r="Y418" s="1">
        <v>0</v>
      </c>
      <c r="Z418" s="1">
        <v>1</v>
      </c>
      <c r="AA418" s="1">
        <v>2</v>
      </c>
      <c r="AB418" s="1">
        <v>3</v>
      </c>
      <c r="AC418" s="1">
        <v>4</v>
      </c>
      <c r="AD418" s="1">
        <v>5</v>
      </c>
      <c r="AE418" s="1">
        <v>6</v>
      </c>
      <c r="AF418" s="1">
        <v>7</v>
      </c>
      <c r="AG418" s="1">
        <v>8</v>
      </c>
      <c r="AH418" s="1">
        <v>9</v>
      </c>
    </row>
    <row r="419" spans="21:34" ht="24" customHeight="1" thickTop="1">
      <c r="U419" t="s">
        <v>141</v>
      </c>
      <c r="Y419" s="125">
        <v>0.1</v>
      </c>
      <c r="Z419" s="126">
        <v>0.3</v>
      </c>
      <c r="AA419" s="126">
        <v>0.5</v>
      </c>
      <c r="AB419" s="126">
        <v>0.6</v>
      </c>
      <c r="AC419" s="126">
        <v>0</v>
      </c>
      <c r="AD419" s="126">
        <v>0.2</v>
      </c>
      <c r="AE419" s="126">
        <v>0.1</v>
      </c>
      <c r="AF419" s="126">
        <v>1</v>
      </c>
      <c r="AG419" s="126">
        <v>0.2</v>
      </c>
      <c r="AH419" s="127">
        <v>0.1</v>
      </c>
    </row>
    <row r="420" spans="21:34" ht="24" customHeight="1">
      <c r="U420" t="s">
        <v>142</v>
      </c>
      <c r="Y420" s="128">
        <v>0</v>
      </c>
      <c r="Z420" s="129">
        <v>0.3</v>
      </c>
      <c r="AA420" s="129">
        <v>0.3</v>
      </c>
      <c r="AB420" s="129">
        <v>0.9</v>
      </c>
      <c r="AC420" s="129">
        <v>0.6</v>
      </c>
      <c r="AD420" s="129">
        <v>0.4</v>
      </c>
      <c r="AE420" s="129">
        <v>0.2</v>
      </c>
      <c r="AF420" s="129">
        <v>0.7</v>
      </c>
      <c r="AG420" s="129">
        <v>0.7</v>
      </c>
      <c r="AH420" s="130">
        <v>0.7</v>
      </c>
    </row>
    <row r="421" spans="21:34" ht="24" customHeight="1">
      <c r="U421" t="s">
        <v>143</v>
      </c>
      <c r="Y421" s="128">
        <v>0</v>
      </c>
      <c r="Z421" s="129">
        <v>0.3</v>
      </c>
      <c r="AA421" s="129">
        <v>0.1</v>
      </c>
      <c r="AB421" s="129">
        <v>0.7</v>
      </c>
      <c r="AC421" s="129">
        <v>0.6</v>
      </c>
      <c r="AD421" s="129">
        <v>1</v>
      </c>
      <c r="AE421" s="129">
        <v>0</v>
      </c>
      <c r="AF421" s="129">
        <v>0.8</v>
      </c>
      <c r="AG421" s="129">
        <v>0.8</v>
      </c>
      <c r="AH421" s="130">
        <v>1</v>
      </c>
    </row>
    <row r="422" spans="21:34" ht="24" customHeight="1">
      <c r="Y422" s="128">
        <v>0.2</v>
      </c>
      <c r="Z422" s="129">
        <v>0.4</v>
      </c>
      <c r="AA422" s="129">
        <v>0.4</v>
      </c>
      <c r="AB422" s="129">
        <v>0.3</v>
      </c>
      <c r="AC422" s="129">
        <v>0.9</v>
      </c>
      <c r="AD422" s="129">
        <v>0.4</v>
      </c>
      <c r="AE422" s="129">
        <v>0.5</v>
      </c>
      <c r="AF422" s="129">
        <v>0.7</v>
      </c>
      <c r="AG422" s="129">
        <v>0.3</v>
      </c>
      <c r="AH422" s="130">
        <v>0.5</v>
      </c>
    </row>
    <row r="423" spans="21:34" ht="24" customHeight="1" thickBot="1">
      <c r="Y423" s="131">
        <v>0.2</v>
      </c>
      <c r="Z423" s="132">
        <v>0.3</v>
      </c>
      <c r="AA423" s="132">
        <v>0.1</v>
      </c>
      <c r="AB423" s="132">
        <v>0.3</v>
      </c>
      <c r="AC423" s="132">
        <v>0.5</v>
      </c>
      <c r="AD423" s="132">
        <v>0.8</v>
      </c>
      <c r="AE423" s="132">
        <v>0.3</v>
      </c>
      <c r="AF423" s="132">
        <v>0.9</v>
      </c>
      <c r="AG423" s="132">
        <v>0.1</v>
      </c>
      <c r="AH423" s="133">
        <v>0.6</v>
      </c>
    </row>
    <row r="424" spans="21:34" ht="24" customHeight="1" thickTop="1"/>
    <row r="426" spans="21:34" ht="24" customHeight="1">
      <c r="U426" t="s">
        <v>144</v>
      </c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</row>
    <row r="427" spans="21:34" ht="24" customHeight="1">
      <c r="U427" t="s">
        <v>145</v>
      </c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</row>
    <row r="428" spans="21:34" ht="24" customHeight="1"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</row>
    <row r="429" spans="21:34" ht="24" customHeight="1"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</row>
    <row r="430" spans="21:34" ht="24" customHeight="1"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</row>
    <row r="432" spans="21:34" s="51" customFormat="1" ht="24" customHeight="1"/>
    <row r="433" spans="1:34" ht="24" customHeight="1">
      <c r="C433" s="1">
        <v>1</v>
      </c>
      <c r="D433" s="1">
        <v>2</v>
      </c>
      <c r="E433" s="1">
        <v>3</v>
      </c>
      <c r="F433" s="1">
        <v>4</v>
      </c>
      <c r="G433" s="1">
        <v>5</v>
      </c>
    </row>
    <row r="434" spans="1:34" ht="24" customHeight="1">
      <c r="A434" s="50" t="s">
        <v>1</v>
      </c>
      <c r="B434" s="50"/>
      <c r="C434" s="49">
        <f>AB394</f>
        <v>0</v>
      </c>
      <c r="D434" s="49">
        <f>AB408</f>
        <v>0</v>
      </c>
      <c r="E434" s="49">
        <f>AE406</f>
        <v>0</v>
      </c>
      <c r="F434" s="49">
        <f>Y429</f>
        <v>0</v>
      </c>
      <c r="G434" s="49">
        <f>AF429</f>
        <v>0</v>
      </c>
    </row>
    <row r="435" spans="1:34" ht="24" customHeight="1">
      <c r="A435" s="50" t="s">
        <v>2</v>
      </c>
      <c r="B435" s="50"/>
      <c r="C435" s="49">
        <v>0.7803921568627451</v>
      </c>
      <c r="D435" s="49">
        <v>0.85098039215686272</v>
      </c>
      <c r="E435" s="49">
        <v>0.68627450980392157</v>
      </c>
      <c r="F435" s="49">
        <v>-0.8</v>
      </c>
      <c r="G435" s="49">
        <v>0.79411764705882348</v>
      </c>
    </row>
    <row r="436" spans="1:34" ht="24" customHeight="1">
      <c r="A436" s="50" t="s">
        <v>3</v>
      </c>
      <c r="C436" s="49" t="str">
        <f>IF(C434=C435,"Y","N")</f>
        <v>N</v>
      </c>
      <c r="D436" s="49" t="str">
        <f>IF(D434=D435,"Y","N")</f>
        <v>N</v>
      </c>
      <c r="E436" s="49" t="str">
        <f>IF(E434=E435,"Y","N")</f>
        <v>N</v>
      </c>
      <c r="F436" s="49" t="str">
        <f>IF(F434=F435,"Y","N")</f>
        <v>N</v>
      </c>
      <c r="G436" s="49" t="str">
        <f>IF(G434=G435,"Y","N")</f>
        <v>N</v>
      </c>
    </row>
    <row r="437" spans="1:34" ht="24" customHeight="1">
      <c r="A437" s="50"/>
      <c r="C437" s="1"/>
      <c r="D437" s="1"/>
      <c r="E437" s="1"/>
      <c r="F437" s="1"/>
      <c r="G437" s="1"/>
    </row>
    <row r="438" spans="1:34" ht="24" customHeight="1">
      <c r="A438" s="50"/>
      <c r="C438" s="1"/>
      <c r="D438" s="1"/>
      <c r="E438" s="1"/>
      <c r="F438" s="1"/>
      <c r="G438" s="1"/>
    </row>
    <row r="439" spans="1:34" ht="24" customHeight="1">
      <c r="A439" s="50"/>
      <c r="C439" s="1"/>
      <c r="D439" s="1"/>
      <c r="E439" s="1"/>
      <c r="F439" s="1"/>
      <c r="G439" s="1"/>
    </row>
    <row r="440" spans="1:34" ht="24" customHeight="1">
      <c r="A440" s="50"/>
      <c r="C440" s="1"/>
      <c r="D440" s="1"/>
      <c r="E440" s="1"/>
      <c r="F440" s="1"/>
      <c r="G440" s="1"/>
    </row>
    <row r="441" spans="1:34" ht="24" customHeight="1">
      <c r="A441" s="50"/>
      <c r="C441" s="1"/>
      <c r="D441" s="1"/>
      <c r="E441" s="1"/>
      <c r="F441" s="1"/>
      <c r="G441" s="1"/>
    </row>
    <row r="442" spans="1:34" ht="24" customHeight="1">
      <c r="A442" s="50"/>
      <c r="C442" s="1"/>
      <c r="D442" s="1"/>
      <c r="E442" s="1"/>
      <c r="F442" s="1"/>
      <c r="G442" s="1"/>
    </row>
    <row r="445" spans="1:34" s="142" customFormat="1" ht="32.1">
      <c r="A445" s="142" t="s">
        <v>146</v>
      </c>
    </row>
    <row r="448" spans="1:34" ht="24" customHeight="1">
      <c r="Y448" s="10">
        <v>0.77831678558280781</v>
      </c>
      <c r="Z448" s="10">
        <v>0.68802030247267543</v>
      </c>
      <c r="AA448" s="10">
        <v>0.76609389754587165</v>
      </c>
      <c r="AB448" s="10">
        <v>0.82653753030225052</v>
      </c>
      <c r="AC448" s="10">
        <v>0.63237284189200382</v>
      </c>
      <c r="AD448" s="10">
        <v>0.66844893782903669</v>
      </c>
      <c r="AE448" s="10">
        <v>0.53874052575317055</v>
      </c>
      <c r="AF448" s="10">
        <v>0.7312606125443617</v>
      </c>
      <c r="AG448" s="10">
        <v>0.66577366648628789</v>
      </c>
      <c r="AH448" s="10">
        <v>0.70132551816717004</v>
      </c>
    </row>
    <row r="449" spans="17:34" ht="24" customHeight="1">
      <c r="Y449" s="11">
        <v>1.5300949905285706</v>
      </c>
      <c r="Z449" s="11">
        <v>1.2752371433243841</v>
      </c>
      <c r="AA449" s="11">
        <v>1.4885758110234988</v>
      </c>
      <c r="AB449" s="11">
        <v>1.3118126451754539</v>
      </c>
      <c r="AC449" s="11">
        <v>1.6112604619669557</v>
      </c>
      <c r="AD449" s="11">
        <v>0.99523531815021493</v>
      </c>
      <c r="AE449" s="11">
        <v>1.6035201627509732</v>
      </c>
      <c r="AF449" s="11">
        <v>1.4577821437311713</v>
      </c>
      <c r="AG449" s="11">
        <v>1.743885549083809</v>
      </c>
      <c r="AH449" s="11">
        <v>1.5319316288212337</v>
      </c>
    </row>
    <row r="450" spans="17:34" ht="24" customHeight="1">
      <c r="Y450" s="11">
        <v>1.6721502105387143</v>
      </c>
      <c r="Z450" s="11">
        <v>1.8356141535159192</v>
      </c>
      <c r="AA450" s="11">
        <v>1.9273943110321263</v>
      </c>
      <c r="AB450" s="11">
        <v>1.7208413411103574</v>
      </c>
      <c r="AC450" s="11">
        <v>2.0478230012794807</v>
      </c>
      <c r="AD450" s="11">
        <v>1.6222910222542293</v>
      </c>
      <c r="AE450" s="11">
        <v>1.9003065524930474</v>
      </c>
      <c r="AF450" s="11">
        <v>1.866899182409369</v>
      </c>
      <c r="AG450" s="11">
        <v>2.1022942539970977</v>
      </c>
      <c r="AH450" s="11">
        <v>1.9103359520668661</v>
      </c>
    </row>
    <row r="451" spans="17:34" ht="24" customHeight="1">
      <c r="Y451" s="11">
        <v>0.89838567348500398</v>
      </c>
      <c r="Z451" s="11">
        <v>1.0604084298384118</v>
      </c>
      <c r="AA451" s="11">
        <v>0.91081901611418337</v>
      </c>
      <c r="AB451" s="11">
        <v>1.0045435667470435</v>
      </c>
      <c r="AC451" s="11">
        <v>0.87016262738257977</v>
      </c>
      <c r="AD451" s="11">
        <v>1.2326117878514709</v>
      </c>
      <c r="AE451" s="11">
        <v>0.96134273545658466</v>
      </c>
      <c r="AF451" s="11">
        <v>0.9435915145306597</v>
      </c>
      <c r="AG451" s="11">
        <v>0.84052942298600142</v>
      </c>
      <c r="AH451" s="11">
        <v>0.90744901111977372</v>
      </c>
    </row>
    <row r="452" spans="17:34" ht="24" customHeight="1">
      <c r="Y452" s="12">
        <v>5.9068548186382195</v>
      </c>
      <c r="Z452" s="12">
        <v>5.3195680657484479</v>
      </c>
      <c r="AA452" s="12">
        <v>5.3379267199204401</v>
      </c>
      <c r="AB452" s="12">
        <v>5.4395165620823978</v>
      </c>
      <c r="AC452" s="12">
        <v>5.2663075713035425</v>
      </c>
      <c r="AD452" s="12">
        <v>5.3850809367158297</v>
      </c>
      <c r="AE452" s="12">
        <v>5.5643095258615833</v>
      </c>
      <c r="AF452" s="12">
        <v>5.3763898453267078</v>
      </c>
      <c r="AG452" s="12">
        <v>5.2410334630415631</v>
      </c>
      <c r="AH452" s="12">
        <v>5.3799906451469806</v>
      </c>
    </row>
    <row r="453" spans="17:34" ht="24" customHeight="1">
      <c r="Y453">
        <v>1</v>
      </c>
    </row>
    <row r="455" spans="17:34" ht="24" customHeight="1">
      <c r="Q455" t="s">
        <v>147</v>
      </c>
      <c r="V455" t="s">
        <v>148</v>
      </c>
    </row>
    <row r="456" spans="17:34" ht="24" customHeight="1">
      <c r="Q456" s="137">
        <v>0</v>
      </c>
      <c r="R456" s="137">
        <v>0</v>
      </c>
      <c r="S456" s="137">
        <v>0</v>
      </c>
      <c r="T456" s="137">
        <v>1</v>
      </c>
      <c r="U456" s="137">
        <v>0</v>
      </c>
      <c r="V456" s="5">
        <v>1</v>
      </c>
      <c r="Y456" s="138"/>
    </row>
    <row r="457" spans="17:34" ht="24" customHeight="1">
      <c r="Q457" s="137">
        <v>0</v>
      </c>
      <c r="R457" s="137">
        <v>0</v>
      </c>
      <c r="S457" s="137">
        <v>0</v>
      </c>
      <c r="T457" s="137">
        <v>0</v>
      </c>
      <c r="U457" s="137">
        <v>1</v>
      </c>
      <c r="V457" s="5">
        <v>-2</v>
      </c>
      <c r="Y457" s="139"/>
    </row>
    <row r="458" spans="17:34" ht="24" customHeight="1">
      <c r="Q458" s="137">
        <v>0</v>
      </c>
      <c r="R458" s="137">
        <v>1</v>
      </c>
      <c r="S458" s="137">
        <v>0</v>
      </c>
      <c r="T458" s="137">
        <v>0</v>
      </c>
      <c r="U458" s="137">
        <v>0</v>
      </c>
      <c r="V458" s="5">
        <v>1</v>
      </c>
      <c r="Y458" s="139"/>
    </row>
    <row r="459" spans="17:34" ht="24" customHeight="1">
      <c r="Q459" s="137">
        <v>0</v>
      </c>
      <c r="R459" s="137">
        <v>0</v>
      </c>
      <c r="S459" s="137">
        <v>1</v>
      </c>
      <c r="T459" s="137">
        <v>1</v>
      </c>
      <c r="U459" s="137">
        <v>0</v>
      </c>
      <c r="V459" s="5">
        <v>5</v>
      </c>
      <c r="Y459" s="139"/>
    </row>
    <row r="460" spans="17:34" ht="24" customHeight="1">
      <c r="Q460" s="137">
        <v>1</v>
      </c>
      <c r="R460" s="137">
        <v>0</v>
      </c>
      <c r="S460" s="137">
        <v>0</v>
      </c>
      <c r="T460" s="137">
        <v>0</v>
      </c>
      <c r="U460" s="137">
        <v>0</v>
      </c>
      <c r="V460" s="5">
        <v>-2</v>
      </c>
      <c r="Y460" s="139"/>
    </row>
    <row r="461" spans="17:34" ht="24" customHeight="1">
      <c r="Q461" s="137">
        <v>1</v>
      </c>
      <c r="R461" s="137">
        <v>0</v>
      </c>
      <c r="S461" s="137">
        <v>1</v>
      </c>
      <c r="T461" s="137">
        <v>0</v>
      </c>
      <c r="U461" s="137">
        <v>0</v>
      </c>
      <c r="V461" s="5">
        <v>0</v>
      </c>
      <c r="Y461" s="139"/>
    </row>
    <row r="462" spans="17:34" ht="24" customHeight="1">
      <c r="Q462" s="137">
        <v>0</v>
      </c>
      <c r="R462" s="137">
        <v>1</v>
      </c>
      <c r="S462" s="137">
        <v>1</v>
      </c>
      <c r="T462" s="137">
        <v>0</v>
      </c>
      <c r="U462" s="137">
        <v>0</v>
      </c>
      <c r="V462" s="5">
        <v>-1</v>
      </c>
      <c r="Y462" s="139"/>
    </row>
    <row r="463" spans="17:34" ht="24" customHeight="1">
      <c r="Q463" s="137">
        <v>0</v>
      </c>
      <c r="R463" s="137">
        <v>0</v>
      </c>
      <c r="S463" s="137">
        <v>-1</v>
      </c>
      <c r="T463" s="137">
        <v>1</v>
      </c>
      <c r="U463" s="137">
        <v>0</v>
      </c>
      <c r="V463" s="5">
        <v>2</v>
      </c>
      <c r="Y463" s="139"/>
    </row>
    <row r="464" spans="17:34" ht="24" customHeight="1">
      <c r="Q464" s="137">
        <v>0</v>
      </c>
      <c r="R464" s="137">
        <v>1</v>
      </c>
      <c r="S464" s="137">
        <v>-1</v>
      </c>
      <c r="T464" s="137">
        <v>0</v>
      </c>
      <c r="U464" s="137">
        <v>0</v>
      </c>
      <c r="V464" s="5">
        <v>1</v>
      </c>
      <c r="Y464" s="139"/>
    </row>
    <row r="465" spans="17:27" ht="24" customHeight="1">
      <c r="Q465" s="137">
        <v>0</v>
      </c>
      <c r="R465" s="137">
        <v>0</v>
      </c>
      <c r="S465" s="137">
        <v>1</v>
      </c>
      <c r="T465" s="137">
        <v>0</v>
      </c>
      <c r="U465" s="137">
        <v>0</v>
      </c>
      <c r="V465" s="5">
        <v>0</v>
      </c>
      <c r="Y465" s="139"/>
    </row>
    <row r="466" spans="17:27" ht="24" customHeight="1">
      <c r="Q466" s="137">
        <v>0</v>
      </c>
      <c r="R466" s="137">
        <v>0</v>
      </c>
      <c r="S466" s="137">
        <v>1</v>
      </c>
      <c r="T466" s="137">
        <v>1</v>
      </c>
      <c r="U466" s="137">
        <v>0</v>
      </c>
      <c r="V466" s="5">
        <v>-4</v>
      </c>
      <c r="Y466" s="139"/>
    </row>
    <row r="467" spans="17:27" ht="24" customHeight="1">
      <c r="Q467" s="137">
        <v>0</v>
      </c>
      <c r="R467" s="137">
        <v>0</v>
      </c>
      <c r="S467" s="137">
        <v>0</v>
      </c>
      <c r="T467" s="137">
        <v>0</v>
      </c>
      <c r="U467" s="137">
        <v>1</v>
      </c>
      <c r="V467" s="5">
        <v>1</v>
      </c>
      <c r="Y467" s="139"/>
    </row>
    <row r="468" spans="17:27" ht="24" customHeight="1">
      <c r="Q468" s="137">
        <v>0</v>
      </c>
      <c r="R468" s="137">
        <v>1</v>
      </c>
      <c r="S468" s="137">
        <v>0</v>
      </c>
      <c r="T468" s="137">
        <v>1</v>
      </c>
      <c r="U468" s="137">
        <v>0</v>
      </c>
      <c r="V468" s="5">
        <v>4</v>
      </c>
      <c r="Y468" s="139"/>
    </row>
    <row r="469" spans="17:27" ht="24" customHeight="1">
      <c r="Q469" s="137">
        <v>0</v>
      </c>
      <c r="R469" s="137">
        <v>1</v>
      </c>
      <c r="S469" s="137">
        <v>1</v>
      </c>
      <c r="T469" s="137">
        <v>0</v>
      </c>
      <c r="U469" s="137">
        <v>0</v>
      </c>
      <c r="V469" s="5">
        <v>0</v>
      </c>
      <c r="Y469" s="139"/>
    </row>
    <row r="470" spans="17:27" ht="24" customHeight="1">
      <c r="Q470" s="137">
        <v>1</v>
      </c>
      <c r="R470" s="137">
        <v>1</v>
      </c>
      <c r="S470" s="137">
        <v>0</v>
      </c>
      <c r="T470" s="137">
        <v>0</v>
      </c>
      <c r="U470" s="137">
        <v>0</v>
      </c>
      <c r="V470" s="5">
        <v>1</v>
      </c>
      <c r="Y470" s="139"/>
    </row>
    <row r="471" spans="17:27" ht="24" customHeight="1">
      <c r="Q471" s="137">
        <v>1</v>
      </c>
      <c r="R471" s="137">
        <v>0</v>
      </c>
      <c r="S471" s="137">
        <v>1</v>
      </c>
      <c r="T471" s="137">
        <v>0</v>
      </c>
      <c r="U471" s="137">
        <v>0</v>
      </c>
      <c r="V471" s="5">
        <v>0</v>
      </c>
      <c r="Y471" s="139"/>
    </row>
    <row r="472" spans="17:27" ht="24" customHeight="1">
      <c r="Q472" s="137">
        <v>0</v>
      </c>
      <c r="R472" s="137">
        <v>1</v>
      </c>
      <c r="S472" s="137">
        <v>1</v>
      </c>
      <c r="T472" s="137">
        <v>0</v>
      </c>
      <c r="U472" s="137">
        <v>0</v>
      </c>
      <c r="V472" s="5">
        <v>0</v>
      </c>
      <c r="Y472" s="139"/>
    </row>
    <row r="473" spans="17:27" ht="24" customHeight="1">
      <c r="Q473" s="137">
        <v>0</v>
      </c>
      <c r="R473" s="137">
        <v>1</v>
      </c>
      <c r="S473" s="137">
        <v>-2</v>
      </c>
      <c r="T473" s="137">
        <v>1</v>
      </c>
      <c r="U473" s="137">
        <v>0</v>
      </c>
      <c r="V473" s="5">
        <v>2</v>
      </c>
      <c r="Y473" s="139"/>
    </row>
    <row r="474" spans="17:27" ht="24" customHeight="1">
      <c r="Q474" s="137">
        <v>0</v>
      </c>
      <c r="R474" s="137">
        <v>1</v>
      </c>
      <c r="S474" s="137">
        <v>0</v>
      </c>
      <c r="T474" s="137">
        <v>1</v>
      </c>
      <c r="U474" s="137">
        <v>0</v>
      </c>
      <c r="V474" s="5">
        <v>-5</v>
      </c>
      <c r="Y474" s="139"/>
    </row>
    <row r="475" spans="17:27" ht="24" customHeight="1">
      <c r="Q475" s="137">
        <v>0</v>
      </c>
      <c r="R475" s="137">
        <v>0</v>
      </c>
      <c r="S475" s="137">
        <v>0</v>
      </c>
      <c r="T475" s="137">
        <v>0</v>
      </c>
      <c r="U475" s="137">
        <v>1</v>
      </c>
      <c r="V475" s="5">
        <v>-1</v>
      </c>
      <c r="Y475" s="140"/>
    </row>
    <row r="477" spans="17:27" ht="24" customHeight="1">
      <c r="U477" t="s">
        <v>149</v>
      </c>
    </row>
    <row r="479" spans="17:27" ht="24" customHeight="1">
      <c r="W479" t="s">
        <v>150</v>
      </c>
      <c r="Y479" s="1" t="s">
        <v>151</v>
      </c>
      <c r="AA479" t="s">
        <v>152</v>
      </c>
    </row>
    <row r="480" spans="17:27" ht="24" customHeight="1">
      <c r="W480" cm="1">
        <f t="array" ref="W480:W499">_xlfn.SEQUENCE(20,1,1)</f>
        <v>1</v>
      </c>
      <c r="Y480" s="138"/>
      <c r="AA480" t="s">
        <v>153</v>
      </c>
    </row>
    <row r="481" spans="23:27" ht="24" customHeight="1">
      <c r="W481">
        <v>2</v>
      </c>
      <c r="Y481" s="139"/>
      <c r="AA481" t="s">
        <v>154</v>
      </c>
    </row>
    <row r="482" spans="23:27" ht="24" customHeight="1">
      <c r="W482">
        <v>3</v>
      </c>
      <c r="Y482" s="139"/>
    </row>
    <row r="483" spans="23:27" ht="24" customHeight="1">
      <c r="W483">
        <v>4</v>
      </c>
      <c r="Y483" s="139"/>
    </row>
    <row r="484" spans="23:27" ht="24" customHeight="1">
      <c r="W484">
        <v>5</v>
      </c>
      <c r="Y484" s="139"/>
    </row>
    <row r="485" spans="23:27" ht="24" customHeight="1">
      <c r="W485">
        <v>6</v>
      </c>
      <c r="Y485" s="139"/>
    </row>
    <row r="486" spans="23:27" ht="24" customHeight="1">
      <c r="W486">
        <v>7</v>
      </c>
      <c r="Y486" s="139"/>
    </row>
    <row r="487" spans="23:27" ht="24" customHeight="1">
      <c r="W487">
        <v>8</v>
      </c>
      <c r="Y487" s="139"/>
    </row>
    <row r="488" spans="23:27" ht="24" customHeight="1">
      <c r="W488">
        <v>9</v>
      </c>
      <c r="Y488" s="139"/>
    </row>
    <row r="489" spans="23:27" ht="24" customHeight="1">
      <c r="W489">
        <v>10</v>
      </c>
      <c r="Y489" s="139"/>
    </row>
    <row r="490" spans="23:27" ht="24" customHeight="1">
      <c r="W490">
        <v>11</v>
      </c>
      <c r="Y490" s="139"/>
    </row>
    <row r="491" spans="23:27" ht="24" customHeight="1">
      <c r="W491">
        <v>12</v>
      </c>
      <c r="Y491" s="139"/>
    </row>
    <row r="492" spans="23:27" ht="24" customHeight="1">
      <c r="W492">
        <v>13</v>
      </c>
      <c r="Y492" s="139"/>
    </row>
    <row r="493" spans="23:27" ht="24" customHeight="1">
      <c r="W493">
        <v>14</v>
      </c>
      <c r="Y493" s="139"/>
    </row>
    <row r="494" spans="23:27" ht="24" customHeight="1">
      <c r="W494">
        <v>15</v>
      </c>
      <c r="Y494" s="139"/>
    </row>
    <row r="495" spans="23:27" ht="24" customHeight="1">
      <c r="W495">
        <v>16</v>
      </c>
      <c r="Y495" s="139"/>
    </row>
    <row r="496" spans="23:27" ht="24" customHeight="1">
      <c r="W496">
        <v>17</v>
      </c>
      <c r="Y496" s="139"/>
    </row>
    <row r="497" spans="20:28" ht="24" customHeight="1">
      <c r="W497">
        <v>18</v>
      </c>
      <c r="Y497" s="139"/>
    </row>
    <row r="498" spans="20:28" ht="24" customHeight="1">
      <c r="W498">
        <v>19</v>
      </c>
      <c r="Y498" s="139"/>
    </row>
    <row r="499" spans="20:28" ht="24" customHeight="1">
      <c r="W499">
        <v>20</v>
      </c>
      <c r="Y499" s="140"/>
    </row>
    <row r="501" spans="20:28" ht="24" customHeight="1">
      <c r="AB501" t="s">
        <v>155</v>
      </c>
    </row>
    <row r="502" spans="20:28" ht="24" customHeight="1">
      <c r="W502" t="s">
        <v>150</v>
      </c>
      <c r="Y502" t="s">
        <v>156</v>
      </c>
      <c r="AB502" t="s">
        <v>157</v>
      </c>
    </row>
    <row r="503" spans="20:28" ht="24" customHeight="1">
      <c r="T503" s="141" t="s">
        <v>158</v>
      </c>
      <c r="W503" cm="1">
        <f t="array" ref="W503:W522">_xlfn.SEQUENCE(20,1,1)</f>
        <v>1</v>
      </c>
      <c r="Y503" s="138"/>
      <c r="AB503" s="138"/>
    </row>
    <row r="504" spans="20:28" ht="24" customHeight="1">
      <c r="T504" t="s">
        <v>159</v>
      </c>
      <c r="W504">
        <v>2</v>
      </c>
      <c r="Y504" s="139"/>
      <c r="AB504" s="139"/>
    </row>
    <row r="505" spans="20:28" ht="24" customHeight="1">
      <c r="T505" t="s">
        <v>160</v>
      </c>
      <c r="W505">
        <v>3</v>
      </c>
      <c r="Y505" s="139"/>
      <c r="AB505" s="139"/>
    </row>
    <row r="506" spans="20:28" ht="24" customHeight="1">
      <c r="T506" t="s">
        <v>161</v>
      </c>
      <c r="W506">
        <v>4</v>
      </c>
      <c r="Y506" s="139"/>
      <c r="AB506" s="139"/>
    </row>
    <row r="507" spans="20:28" ht="24" customHeight="1">
      <c r="T507" t="s">
        <v>162</v>
      </c>
      <c r="W507">
        <v>5</v>
      </c>
      <c r="Y507" s="139"/>
      <c r="AB507" s="139"/>
    </row>
    <row r="508" spans="20:28" ht="24" customHeight="1">
      <c r="T508" t="s">
        <v>163</v>
      </c>
      <c r="W508">
        <v>6</v>
      </c>
      <c r="Y508" s="139"/>
      <c r="AB508" s="139"/>
    </row>
    <row r="509" spans="20:28" ht="24" customHeight="1">
      <c r="W509">
        <v>7</v>
      </c>
      <c r="Y509" s="139"/>
      <c r="AB509" s="139"/>
    </row>
    <row r="510" spans="20:28" ht="24" customHeight="1">
      <c r="W510">
        <v>8</v>
      </c>
      <c r="Y510" s="139"/>
      <c r="AB510" s="139"/>
    </row>
    <row r="511" spans="20:28" ht="24" customHeight="1">
      <c r="W511">
        <v>9</v>
      </c>
      <c r="Y511" s="139"/>
      <c r="AB511" s="139"/>
    </row>
    <row r="512" spans="20:28" ht="24" customHeight="1">
      <c r="W512">
        <v>10</v>
      </c>
      <c r="Y512" s="139"/>
      <c r="AB512" s="139"/>
    </row>
    <row r="513" spans="1:28" ht="24" customHeight="1">
      <c r="W513">
        <v>11</v>
      </c>
      <c r="Y513" s="139"/>
      <c r="AB513" s="139"/>
    </row>
    <row r="514" spans="1:28" ht="24" customHeight="1">
      <c r="W514">
        <v>12</v>
      </c>
      <c r="Y514" s="139"/>
      <c r="AB514" s="139"/>
    </row>
    <row r="515" spans="1:28" ht="24" customHeight="1">
      <c r="W515">
        <v>13</v>
      </c>
      <c r="Y515" s="139"/>
      <c r="AB515" s="139"/>
    </row>
    <row r="516" spans="1:28" ht="24" customHeight="1">
      <c r="W516">
        <v>14</v>
      </c>
      <c r="Y516" s="139"/>
      <c r="AB516" s="139"/>
    </row>
    <row r="517" spans="1:28" ht="24" customHeight="1">
      <c r="W517">
        <v>15</v>
      </c>
      <c r="Y517" s="139"/>
      <c r="AB517" s="139"/>
    </row>
    <row r="518" spans="1:28" ht="24" customHeight="1">
      <c r="W518">
        <v>16</v>
      </c>
      <c r="Y518" s="139"/>
      <c r="AB518" s="139"/>
    </row>
    <row r="519" spans="1:28" ht="24" customHeight="1">
      <c r="W519">
        <v>17</v>
      </c>
      <c r="Y519" s="139"/>
      <c r="AB519" s="139"/>
    </row>
    <row r="520" spans="1:28" ht="24" customHeight="1">
      <c r="W520">
        <v>18</v>
      </c>
      <c r="Y520" s="139"/>
      <c r="AB520" s="139"/>
    </row>
    <row r="521" spans="1:28" ht="24" customHeight="1">
      <c r="W521">
        <v>19</v>
      </c>
      <c r="Y521" s="139"/>
      <c r="AB521" s="139"/>
    </row>
    <row r="522" spans="1:28" ht="24" customHeight="1">
      <c r="W522">
        <v>20</v>
      </c>
      <c r="Y522" s="140"/>
      <c r="AB522" s="140"/>
    </row>
    <row r="524" spans="1:28" s="51" customFormat="1" ht="24" customHeight="1"/>
    <row r="525" spans="1:28" ht="24" customHeight="1">
      <c r="C525" s="1">
        <v>1</v>
      </c>
      <c r="D525" s="1">
        <v>2</v>
      </c>
      <c r="E525" s="1">
        <v>3</v>
      </c>
      <c r="F525" s="1">
        <v>4</v>
      </c>
      <c r="G525" s="1">
        <v>5</v>
      </c>
    </row>
    <row r="526" spans="1:28" ht="24" customHeight="1">
      <c r="A526" s="50" t="s">
        <v>1</v>
      </c>
      <c r="B526" s="50"/>
      <c r="C526" s="49">
        <f>Y461</f>
        <v>0</v>
      </c>
      <c r="D526" s="49">
        <f>Y491</f>
        <v>0</v>
      </c>
      <c r="E526" s="49">
        <f>AB504</f>
        <v>0</v>
      </c>
      <c r="F526" s="49">
        <f>AB506</f>
        <v>0</v>
      </c>
      <c r="G526" s="49">
        <f>AB514</f>
        <v>0</v>
      </c>
    </row>
    <row r="527" spans="1:28" ht="24" customHeight="1">
      <c r="A527" s="50" t="s">
        <v>2</v>
      </c>
      <c r="B527" s="50"/>
      <c r="C527" s="49">
        <v>2.4504669961215222</v>
      </c>
      <c r="D527" s="49">
        <v>0.25709543616126207</v>
      </c>
      <c r="E527" s="49">
        <v>1.2800028057226555E-2</v>
      </c>
      <c r="F527" s="49">
        <v>-0.500739287985286</v>
      </c>
      <c r="G527" s="49">
        <v>0.25709543616126207</v>
      </c>
    </row>
    <row r="528" spans="1:28" ht="24" customHeight="1">
      <c r="A528" s="50" t="s">
        <v>3</v>
      </c>
      <c r="C528" s="49" t="str">
        <f>IF(C526=C527,"Y","N")</f>
        <v>N</v>
      </c>
      <c r="D528" s="49" t="str">
        <f>IF(D526=D527,"Y","N")</f>
        <v>N</v>
      </c>
      <c r="E528" s="49" t="str">
        <f>IF(E526=E527,"Y","N")</f>
        <v>N</v>
      </c>
      <c r="F528" s="49" t="str">
        <f>IF(F526=F527,"Y","N")</f>
        <v>N</v>
      </c>
      <c r="G528" s="49" t="str">
        <f>IF(G526=G527,"Y","N")</f>
        <v>N</v>
      </c>
    </row>
    <row r="533" spans="1:33" s="89" customFormat="1" ht="32.1">
      <c r="A533" s="142" t="s">
        <v>164</v>
      </c>
    </row>
    <row r="535" spans="1:33" ht="24" customHeight="1">
      <c r="N535" t="s">
        <v>165</v>
      </c>
      <c r="AD535" t="s">
        <v>166</v>
      </c>
    </row>
    <row r="536" spans="1:33" ht="24" customHeight="1">
      <c r="N536" s="1"/>
      <c r="O536" s="1"/>
      <c r="P536" s="1"/>
      <c r="Q536" s="1"/>
    </row>
    <row r="537" spans="1:33" ht="24" customHeight="1">
      <c r="N537" s="14">
        <v>9</v>
      </c>
      <c r="O537" s="14">
        <v>3</v>
      </c>
      <c r="P537" s="14">
        <v>13</v>
      </c>
      <c r="Q537" s="14">
        <v>30</v>
      </c>
      <c r="AD537" s="145">
        <v>66.518289963229634</v>
      </c>
      <c r="AE537" s="145">
        <v>38.941125496954278</v>
      </c>
      <c r="AF537" s="145">
        <v>128.03657992645927</v>
      </c>
      <c r="AG537" s="145">
        <v>40.355339059327363</v>
      </c>
    </row>
    <row r="538" spans="1:33" ht="24" customHeight="1">
      <c r="N538" s="24">
        <v>7</v>
      </c>
      <c r="O538" s="24">
        <v>1</v>
      </c>
      <c r="P538" s="24">
        <v>8</v>
      </c>
      <c r="Q538" s="24">
        <v>10</v>
      </c>
      <c r="AD538" s="146">
        <v>19.677669529663685</v>
      </c>
      <c r="AE538" s="146">
        <v>11.899494936611664</v>
      </c>
      <c r="AF538" s="146">
        <v>34.526911934581179</v>
      </c>
      <c r="AG538" s="146">
        <v>12.606601717798211</v>
      </c>
    </row>
    <row r="539" spans="1:33" ht="24" customHeight="1">
      <c r="N539" s="24">
        <v>13</v>
      </c>
      <c r="O539" s="24">
        <v>8</v>
      </c>
      <c r="P539" s="24">
        <v>18</v>
      </c>
      <c r="Q539" s="24">
        <v>10</v>
      </c>
      <c r="AD539" s="146">
        <v>122.37972567696688</v>
      </c>
      <c r="AE539" s="146">
        <v>71.468037431535464</v>
      </c>
      <c r="AF539" s="146">
        <v>241.8807716974934</v>
      </c>
      <c r="AG539" s="146">
        <v>71.468037431535464</v>
      </c>
    </row>
    <row r="540" spans="1:33" ht="24" customHeight="1">
      <c r="N540" s="24">
        <v>6</v>
      </c>
      <c r="O540" s="24">
        <v>4</v>
      </c>
      <c r="P540" s="24">
        <v>5</v>
      </c>
      <c r="Q540" s="24">
        <v>10</v>
      </c>
      <c r="AD540" s="147">
        <v>61.275649276110343</v>
      </c>
      <c r="AE540" s="147">
        <v>36.526911934581179</v>
      </c>
      <c r="AF540" s="147">
        <v>115.7228714274745</v>
      </c>
      <c r="AG540" s="147">
        <v>37.234018715767725</v>
      </c>
    </row>
    <row r="541" spans="1:33" ht="24" customHeight="1">
      <c r="N541" s="24">
        <v>6</v>
      </c>
      <c r="O541" s="24">
        <v>1</v>
      </c>
      <c r="P541" s="24">
        <v>8</v>
      </c>
      <c r="Q541" s="24">
        <v>20</v>
      </c>
      <c r="AD541" s="1">
        <v>1</v>
      </c>
      <c r="AE541" s="1">
        <v>1</v>
      </c>
      <c r="AF541" s="1">
        <v>1</v>
      </c>
      <c r="AG541" s="1">
        <v>1</v>
      </c>
    </row>
    <row r="542" spans="1:33" ht="24" customHeight="1">
      <c r="N542" s="15">
        <v>7</v>
      </c>
      <c r="O542" s="15">
        <v>2</v>
      </c>
      <c r="P542" s="15">
        <v>8</v>
      </c>
      <c r="Q542" s="15">
        <v>10</v>
      </c>
    </row>
    <row r="543" spans="1:33" ht="24" customHeight="1">
      <c r="N543" s="1">
        <v>1</v>
      </c>
      <c r="O543" s="1">
        <v>1</v>
      </c>
      <c r="P543" s="1">
        <v>1</v>
      </c>
      <c r="Q543" s="1">
        <v>1</v>
      </c>
    </row>
    <row r="544" spans="1:33" ht="24" customHeight="1">
      <c r="F544" t="s">
        <v>101</v>
      </c>
      <c r="X544" t="s">
        <v>101</v>
      </c>
    </row>
    <row r="546" spans="6:33" ht="24" customHeight="1">
      <c r="F546" s="148">
        <v>0</v>
      </c>
      <c r="G546" s="148">
        <v>1</v>
      </c>
      <c r="H546" s="148">
        <v>0</v>
      </c>
      <c r="I546" s="148">
        <v>1</v>
      </c>
      <c r="J546" s="148">
        <v>0</v>
      </c>
      <c r="K546" s="148">
        <v>1</v>
      </c>
      <c r="L546" s="149">
        <v>-1</v>
      </c>
      <c r="N546" s="138" cm="1">
        <f t="array" ref="N546:Q548">MMULT(F546:L548,N537:Q543)</f>
        <v>19</v>
      </c>
      <c r="O546" s="138">
        <v>6</v>
      </c>
      <c r="P546" s="138">
        <v>20</v>
      </c>
      <c r="Q546" s="138">
        <v>29</v>
      </c>
      <c r="X546" s="148">
        <v>0</v>
      </c>
      <c r="Y546" s="148">
        <v>0</v>
      </c>
      <c r="Z546" s="148">
        <v>1</v>
      </c>
      <c r="AA546" s="148">
        <v>-1</v>
      </c>
      <c r="AB546" s="149">
        <v>-1</v>
      </c>
      <c r="AD546" s="138" cm="1">
        <f t="array" ref="AD546:AG548">MMULT(X546:AB548,AD537:AG541)</f>
        <v>60.104076400856542</v>
      </c>
      <c r="AE546" s="138">
        <v>33.941125496954285</v>
      </c>
      <c r="AF546" s="138">
        <v>125.1579002700189</v>
      </c>
      <c r="AG546" s="138">
        <v>33.234018715767739</v>
      </c>
    </row>
    <row r="547" spans="6:33" ht="24" customHeight="1">
      <c r="F547" s="148">
        <v>0</v>
      </c>
      <c r="G547" s="148">
        <v>-1</v>
      </c>
      <c r="H547" s="148">
        <v>0</v>
      </c>
      <c r="I547" s="148">
        <v>1</v>
      </c>
      <c r="J547" s="148">
        <v>1</v>
      </c>
      <c r="K547" s="148">
        <v>0</v>
      </c>
      <c r="L547" s="149">
        <v>1</v>
      </c>
      <c r="N547" s="139">
        <v>6</v>
      </c>
      <c r="O547" s="139">
        <v>5</v>
      </c>
      <c r="P547" s="139">
        <v>6</v>
      </c>
      <c r="Q547" s="139">
        <v>21</v>
      </c>
      <c r="X547" s="148">
        <v>1</v>
      </c>
      <c r="Y547" s="148">
        <v>1</v>
      </c>
      <c r="Z547" s="148">
        <v>0</v>
      </c>
      <c r="AA547" s="148">
        <v>0</v>
      </c>
      <c r="AB547" s="149">
        <v>0</v>
      </c>
      <c r="AD547" s="139">
        <v>86.195959492893323</v>
      </c>
      <c r="AE547" s="139">
        <v>50.840620433565945</v>
      </c>
      <c r="AF547" s="139">
        <v>162.56349186104046</v>
      </c>
      <c r="AG547" s="139">
        <v>52.961940777125577</v>
      </c>
    </row>
    <row r="548" spans="6:33" ht="24" customHeight="1">
      <c r="F548" s="148">
        <v>1</v>
      </c>
      <c r="G548" s="148">
        <v>1</v>
      </c>
      <c r="H548" s="148">
        <v>0</v>
      </c>
      <c r="I548" s="148">
        <v>0</v>
      </c>
      <c r="J548" s="148">
        <v>1</v>
      </c>
      <c r="K548" s="148">
        <v>0</v>
      </c>
      <c r="L548" s="149">
        <v>0</v>
      </c>
      <c r="N548" s="140">
        <v>22</v>
      </c>
      <c r="O548" s="140">
        <v>5</v>
      </c>
      <c r="P548" s="140">
        <v>29</v>
      </c>
      <c r="Q548" s="140">
        <v>60</v>
      </c>
      <c r="X548" s="148">
        <v>0</v>
      </c>
      <c r="Y548" s="148">
        <v>0</v>
      </c>
      <c r="Z548" s="148">
        <v>1</v>
      </c>
      <c r="AA548" s="148">
        <v>0</v>
      </c>
      <c r="AB548" s="149">
        <v>1</v>
      </c>
      <c r="AD548" s="140">
        <v>123.37972567696688</v>
      </c>
      <c r="AE548" s="140">
        <v>72.468037431535464</v>
      </c>
      <c r="AF548" s="140">
        <v>242.8807716974934</v>
      </c>
      <c r="AG548" s="140">
        <v>72.468037431535464</v>
      </c>
    </row>
    <row r="550" spans="6:33" ht="24" customHeight="1">
      <c r="K550" t="s">
        <v>167</v>
      </c>
      <c r="AA550" t="s">
        <v>167</v>
      </c>
    </row>
    <row r="551" spans="6:33" ht="24" customHeight="1">
      <c r="N551" s="150" t="s">
        <v>168</v>
      </c>
      <c r="O551" s="150" t="s">
        <v>169</v>
      </c>
      <c r="P551" s="150" t="s">
        <v>170</v>
      </c>
      <c r="Q551" s="150" t="s">
        <v>171</v>
      </c>
      <c r="AD551" s="150" t="s">
        <v>172</v>
      </c>
      <c r="AE551" s="150" t="s">
        <v>173</v>
      </c>
      <c r="AF551" s="150" t="s">
        <v>174</v>
      </c>
      <c r="AG551" s="150" t="s">
        <v>175</v>
      </c>
    </row>
    <row r="552" spans="6:33" ht="24" customHeight="1">
      <c r="N552" s="151"/>
      <c r="O552" s="151"/>
      <c r="P552" s="151"/>
      <c r="Q552" s="151"/>
      <c r="AD552" s="154"/>
      <c r="AE552" s="154"/>
      <c r="AF552" s="154"/>
      <c r="AG552" s="154"/>
    </row>
    <row r="553" spans="6:33" ht="24" customHeight="1">
      <c r="N553" s="152"/>
      <c r="O553" s="152"/>
      <c r="P553" s="152"/>
      <c r="Q553" s="152"/>
      <c r="AD553" s="155"/>
      <c r="AE553" s="155"/>
      <c r="AF553" s="155"/>
      <c r="AG553" s="155"/>
    </row>
    <row r="554" spans="6:33" ht="24" customHeight="1">
      <c r="N554" s="153"/>
      <c r="O554" s="153"/>
      <c r="P554" s="153"/>
      <c r="Q554" s="153"/>
      <c r="AD554" s="156"/>
      <c r="AE554" s="156"/>
      <c r="AF554" s="156"/>
      <c r="AG554" s="156"/>
    </row>
    <row r="559" spans="6:33" ht="24" customHeight="1">
      <c r="J559" s="150" t="s">
        <v>176</v>
      </c>
    </row>
    <row r="560" spans="6:33" ht="24" customHeight="1">
      <c r="J560" s="150" t="s">
        <v>172</v>
      </c>
      <c r="K560" s="150" t="s">
        <v>173</v>
      </c>
      <c r="L560" s="150" t="s">
        <v>174</v>
      </c>
      <c r="M560" s="150" t="s">
        <v>175</v>
      </c>
    </row>
    <row r="561" spans="2:40" ht="24" customHeight="1">
      <c r="J561" s="154"/>
      <c r="K561" s="154"/>
      <c r="L561" s="154"/>
      <c r="M561" s="154"/>
    </row>
    <row r="562" spans="2:40" ht="24" customHeight="1">
      <c r="J562" s="155"/>
      <c r="K562" s="155"/>
      <c r="L562" s="155"/>
      <c r="M562" s="155"/>
      <c r="O562" t="s">
        <v>177</v>
      </c>
      <c r="Z562" s="50" t="s">
        <v>178</v>
      </c>
      <c r="AG562" s="50" t="s">
        <v>179</v>
      </c>
      <c r="AK562" s="50" t="s">
        <v>180</v>
      </c>
    </row>
    <row r="563" spans="2:40" ht="24" customHeight="1">
      <c r="J563" s="156"/>
      <c r="K563" s="156"/>
      <c r="L563" s="156"/>
      <c r="M563" s="156"/>
      <c r="O563" t="s">
        <v>181</v>
      </c>
      <c r="AK563" t="s">
        <v>182</v>
      </c>
    </row>
    <row r="564" spans="2:40" ht="24" customHeight="1">
      <c r="E564" s="150" t="s">
        <v>183</v>
      </c>
      <c r="I564" t="s">
        <v>184</v>
      </c>
      <c r="J564" s="150" t="s">
        <v>185</v>
      </c>
      <c r="O564" t="s">
        <v>186</v>
      </c>
      <c r="T564" t="s">
        <v>187</v>
      </c>
      <c r="Z564" s="157" t="s">
        <v>188</v>
      </c>
      <c r="AE564" t="s">
        <v>189</v>
      </c>
      <c r="AH564" t="s">
        <v>190</v>
      </c>
    </row>
    <row r="565" spans="2:40" ht="24" customHeight="1">
      <c r="B565" t="s">
        <v>191</v>
      </c>
      <c r="E565" s="150" t="s">
        <v>168</v>
      </c>
      <c r="F565" s="158"/>
      <c r="G565" s="159"/>
      <c r="H565" s="160"/>
      <c r="J565" s="161"/>
      <c r="K565" s="162"/>
      <c r="L565" s="162"/>
      <c r="M565" s="163"/>
      <c r="O565" s="169"/>
      <c r="P565" s="170"/>
      <c r="Q565" s="170"/>
      <c r="R565" s="171"/>
      <c r="T565" s="161"/>
      <c r="U565" s="162"/>
      <c r="V565" s="162"/>
      <c r="W565" s="163"/>
      <c r="Z565" s="172"/>
      <c r="AA565" s="173"/>
      <c r="AB565" s="173"/>
      <c r="AC565" s="174"/>
      <c r="AE565" s="180"/>
      <c r="AH565" s="180"/>
      <c r="AK565" s="172"/>
      <c r="AL565" s="173"/>
      <c r="AM565" s="173"/>
      <c r="AN565" s="174"/>
    </row>
    <row r="566" spans="2:40" ht="24" customHeight="1">
      <c r="B566" s="143">
        <v>7.0000000000000007E-2</v>
      </c>
      <c r="E566" s="150" t="s">
        <v>169</v>
      </c>
      <c r="F566" s="158"/>
      <c r="G566" s="159"/>
      <c r="H566" s="160"/>
      <c r="J566" s="164"/>
      <c r="M566" s="165"/>
      <c r="O566" s="169"/>
      <c r="P566" s="170"/>
      <c r="Q566" s="170"/>
      <c r="R566" s="171"/>
      <c r="T566" s="164"/>
      <c r="W566" s="165"/>
      <c r="Z566" s="175"/>
      <c r="AA566" s="1"/>
      <c r="AB566" s="1"/>
      <c r="AC566" s="176"/>
      <c r="AK566" s="175"/>
      <c r="AL566" s="1"/>
      <c r="AM566" s="1"/>
      <c r="AN566" s="176"/>
    </row>
    <row r="567" spans="2:40" ht="24" customHeight="1">
      <c r="E567" s="150" t="s">
        <v>170</v>
      </c>
      <c r="F567" s="158"/>
      <c r="G567" s="159"/>
      <c r="H567" s="160"/>
      <c r="J567" s="164"/>
      <c r="M567" s="165"/>
      <c r="O567" s="169"/>
      <c r="P567" s="170"/>
      <c r="Q567" s="170"/>
      <c r="R567" s="171"/>
      <c r="T567" s="164"/>
      <c r="W567" s="165"/>
      <c r="Z567" s="175"/>
      <c r="AA567" s="1"/>
      <c r="AB567" s="1"/>
      <c r="AC567" s="176"/>
      <c r="AK567" s="175"/>
      <c r="AL567" s="1"/>
      <c r="AM567" s="1"/>
      <c r="AN567" s="176"/>
    </row>
    <row r="568" spans="2:40" ht="24" customHeight="1">
      <c r="E568" s="150" t="s">
        <v>171</v>
      </c>
      <c r="F568" s="158"/>
      <c r="G568" s="159"/>
      <c r="H568" s="160"/>
      <c r="J568" s="166"/>
      <c r="K568" s="167"/>
      <c r="L568" s="167"/>
      <c r="M568" s="168"/>
      <c r="O568" s="169"/>
      <c r="P568" s="170"/>
      <c r="Q568" s="170"/>
      <c r="R568" s="171"/>
      <c r="T568" s="166"/>
      <c r="U568" s="167"/>
      <c r="V568" s="167"/>
      <c r="W568" s="168"/>
      <c r="Z568" s="177"/>
      <c r="AA568" s="178"/>
      <c r="AB568" s="178"/>
      <c r="AC568" s="179"/>
      <c r="AK568" s="177"/>
      <c r="AL568" s="178"/>
      <c r="AM568" s="178"/>
      <c r="AN568" s="179"/>
    </row>
    <row r="569" spans="2:40" ht="24" customHeight="1">
      <c r="J569" t="s">
        <v>192</v>
      </c>
      <c r="T569" t="s">
        <v>187</v>
      </c>
      <c r="Z569" s="157" t="s">
        <v>188</v>
      </c>
      <c r="AE569" t="s">
        <v>189</v>
      </c>
    </row>
    <row r="570" spans="2:40" ht="24" customHeight="1">
      <c r="F570" t="s">
        <v>193</v>
      </c>
      <c r="J570" s="138"/>
      <c r="K570" s="138"/>
      <c r="L570" s="138"/>
      <c r="M570" s="138"/>
      <c r="T570" s="161"/>
      <c r="U570" s="162"/>
      <c r="V570" s="162"/>
      <c r="W570" s="163"/>
      <c r="Z570" s="172"/>
      <c r="AA570" s="162"/>
      <c r="AB570" s="162"/>
      <c r="AC570" s="163"/>
      <c r="AE570" s="180"/>
      <c r="AK570" s="172"/>
      <c r="AL570" s="173"/>
      <c r="AM570" s="173"/>
      <c r="AN570" s="174"/>
    </row>
    <row r="571" spans="2:40" ht="24" customHeight="1">
      <c r="F571" t="s">
        <v>194</v>
      </c>
      <c r="J571" s="139"/>
      <c r="K571" s="139"/>
      <c r="L571" s="139"/>
      <c r="M571" s="139"/>
      <c r="T571" s="164"/>
      <c r="W571" s="165"/>
      <c r="Z571" s="164"/>
      <c r="AC571" s="165"/>
      <c r="AK571" s="175"/>
      <c r="AL571" s="1"/>
      <c r="AM571" s="1"/>
      <c r="AN571" s="176"/>
    </row>
    <row r="572" spans="2:40" ht="24" customHeight="1">
      <c r="J572" s="139"/>
      <c r="K572" s="139"/>
      <c r="L572" s="139"/>
      <c r="M572" s="139"/>
      <c r="T572" s="164"/>
      <c r="W572" s="165"/>
      <c r="Z572" s="164"/>
      <c r="AC572" s="165"/>
      <c r="AK572" s="175"/>
      <c r="AL572" s="1"/>
      <c r="AM572" s="1"/>
      <c r="AN572" s="176"/>
    </row>
    <row r="573" spans="2:40" ht="24" customHeight="1">
      <c r="J573" s="140"/>
      <c r="K573" s="140"/>
      <c r="L573" s="140"/>
      <c r="M573" s="140"/>
      <c r="T573" s="166"/>
      <c r="U573" s="167"/>
      <c r="V573" s="167"/>
      <c r="W573" s="168"/>
      <c r="Z573" s="166"/>
      <c r="AA573" s="167"/>
      <c r="AB573" s="167"/>
      <c r="AC573" s="168"/>
      <c r="AK573" s="177"/>
      <c r="AL573" s="178"/>
      <c r="AM573" s="178"/>
      <c r="AN573" s="179"/>
    </row>
    <row r="575" spans="2:40" s="51" customFormat="1" ht="24" customHeight="1"/>
    <row r="576" spans="2:40" ht="24" customHeight="1">
      <c r="C576" s="1">
        <v>1</v>
      </c>
      <c r="D576" s="1">
        <v>2</v>
      </c>
      <c r="E576" s="1">
        <v>3</v>
      </c>
      <c r="F576" s="1">
        <v>4</v>
      </c>
      <c r="G576" s="1">
        <v>5</v>
      </c>
      <c r="H576" s="1">
        <v>6</v>
      </c>
      <c r="I576" s="1">
        <v>7</v>
      </c>
      <c r="J576" s="1">
        <v>8</v>
      </c>
      <c r="K576" s="1">
        <v>9</v>
      </c>
      <c r="L576" s="1">
        <v>10</v>
      </c>
    </row>
    <row r="577" spans="1:12" ht="24" customHeight="1">
      <c r="A577" s="50" t="s">
        <v>1</v>
      </c>
      <c r="B577" s="50"/>
      <c r="C577" s="49">
        <f>O553</f>
        <v>0</v>
      </c>
      <c r="D577" s="49">
        <f>J566</f>
        <v>0</v>
      </c>
      <c r="E577" s="49">
        <f>Q565</f>
        <v>0</v>
      </c>
      <c r="F577" s="49">
        <f>AB567</f>
        <v>0</v>
      </c>
      <c r="G577" s="49">
        <f>AA571</f>
        <v>0</v>
      </c>
      <c r="H577" s="49">
        <f>AE565</f>
        <v>0</v>
      </c>
      <c r="I577" s="49">
        <f>AE570</f>
        <v>0</v>
      </c>
      <c r="J577" s="49">
        <f>AH565</f>
        <v>0</v>
      </c>
      <c r="K577" s="49">
        <f>AL566</f>
        <v>0</v>
      </c>
      <c r="L577" s="49">
        <f>AN572</f>
        <v>0</v>
      </c>
    </row>
    <row r="578" spans="1:12" ht="24" customHeight="1">
      <c r="A578" s="50" t="s">
        <v>2</v>
      </c>
      <c r="B578" s="50"/>
      <c r="C578" s="49">
        <v>0.53916386601719202</v>
      </c>
      <c r="D578" s="49">
        <v>13.388238020730626</v>
      </c>
      <c r="E578" s="49">
        <v>0.30264323904171397</v>
      </c>
      <c r="F578" s="49">
        <v>0.5244703004208634</v>
      </c>
      <c r="G578" s="49">
        <v>0.60033831182315855</v>
      </c>
      <c r="H578" s="49">
        <v>0.59453755553504095</v>
      </c>
      <c r="I578" s="49">
        <v>0.61754318969375543</v>
      </c>
      <c r="J578" s="49">
        <v>0.60604037261439814</v>
      </c>
      <c r="K578" s="49">
        <v>-14.046669048032223</v>
      </c>
      <c r="L578" s="49">
        <v>0.17366180679695356</v>
      </c>
    </row>
    <row r="579" spans="1:12" ht="24" customHeight="1">
      <c r="A579" s="50" t="s">
        <v>3</v>
      </c>
      <c r="C579" s="49" t="str">
        <f>IF(C577=C578,"Y","N")</f>
        <v>N</v>
      </c>
      <c r="D579" s="49" t="str">
        <f>IF(D577=D578,"Y","N")</f>
        <v>N</v>
      </c>
      <c r="E579" s="49" t="str">
        <f>IF(E577=E578,"Y","N")</f>
        <v>N</v>
      </c>
      <c r="F579" s="49" t="str">
        <f>IF(F577=F578,"Y","N")</f>
        <v>N</v>
      </c>
      <c r="G579" s="49" t="str">
        <f>IF(G577=G578,"Y","N")</f>
        <v>N</v>
      </c>
      <c r="H579" s="49" t="str">
        <f t="shared" ref="H579:L579" si="7">IF(H577=H578,"Y","N")</f>
        <v>N</v>
      </c>
      <c r="I579" s="49" t="str">
        <f t="shared" si="7"/>
        <v>N</v>
      </c>
      <c r="J579" s="49" t="str">
        <f t="shared" si="7"/>
        <v>N</v>
      </c>
      <c r="K579" s="49" t="str">
        <f t="shared" si="7"/>
        <v>N</v>
      </c>
      <c r="L579" s="49" t="str">
        <f t="shared" si="7"/>
        <v>N</v>
      </c>
    </row>
    <row r="588" spans="1:12" s="53" customFormat="1" ht="24" customHeight="1">
      <c r="A588" s="4" t="s">
        <v>195</v>
      </c>
    </row>
    <row r="590" spans="1:12" ht="24" customHeight="1">
      <c r="A590" t="s">
        <v>196</v>
      </c>
    </row>
  </sheetData>
  <conditionalFormatting sqref="C16:G22">
    <cfRule type="cellIs" dxfId="47" priority="9" operator="equal">
      <formula>"Y"</formula>
    </cfRule>
    <cfRule type="cellIs" dxfId="46" priority="10" stopIfTrue="1" operator="equal">
      <formula>"N"</formula>
    </cfRule>
  </conditionalFormatting>
  <conditionalFormatting sqref="C69:L74">
    <cfRule type="cellIs" dxfId="45" priority="19" operator="equal">
      <formula>"Y"</formula>
    </cfRule>
    <cfRule type="cellIs" dxfId="44" priority="20" stopIfTrue="1" operator="equal">
      <formula>"N"</formula>
    </cfRule>
  </conditionalFormatting>
  <conditionalFormatting sqref="C107:L111">
    <cfRule type="cellIs" dxfId="43" priority="40" stopIfTrue="1" operator="equal">
      <formula>"N"</formula>
    </cfRule>
    <cfRule type="cellIs" dxfId="42" priority="39" operator="equal">
      <formula>"Y"</formula>
    </cfRule>
  </conditionalFormatting>
  <conditionalFormatting sqref="C216:L223">
    <cfRule type="cellIs" dxfId="41" priority="24" stopIfTrue="1" operator="equal">
      <formula>"N"</formula>
    </cfRule>
    <cfRule type="cellIs" dxfId="40" priority="23" operator="equal">
      <formula>"Y"</formula>
    </cfRule>
  </conditionalFormatting>
  <conditionalFormatting sqref="C257:L265">
    <cfRule type="cellIs" dxfId="39" priority="44" stopIfTrue="1" operator="equal">
      <formula>"N"</formula>
    </cfRule>
    <cfRule type="cellIs" dxfId="38" priority="43" operator="equal">
      <formula>"Y"</formula>
    </cfRule>
  </conditionalFormatting>
  <conditionalFormatting sqref="C302:L307">
    <cfRule type="cellIs" dxfId="37" priority="48" stopIfTrue="1" operator="equal">
      <formula>"N"</formula>
    </cfRule>
    <cfRule type="cellIs" dxfId="36" priority="47" operator="equal">
      <formula>"Y"</formula>
    </cfRule>
  </conditionalFormatting>
  <conditionalFormatting sqref="C333:L333">
    <cfRule type="cellIs" dxfId="35" priority="52" stopIfTrue="1" operator="equal">
      <formula>"N"</formula>
    </cfRule>
    <cfRule type="cellIs" dxfId="34" priority="51" operator="equal">
      <formula>"Y"</formula>
    </cfRule>
  </conditionalFormatting>
  <conditionalFormatting sqref="C374:L374">
    <cfRule type="cellIs" dxfId="33" priority="5" operator="equal">
      <formula>"Y"</formula>
    </cfRule>
    <cfRule type="cellIs" dxfId="32" priority="6" stopIfTrue="1" operator="equal">
      <formula>"N"</formula>
    </cfRule>
  </conditionalFormatting>
  <conditionalFormatting sqref="C436:L442">
    <cfRule type="cellIs" dxfId="31" priority="14" operator="equal">
      <formula>"Y"</formula>
    </cfRule>
    <cfRule type="cellIs" dxfId="30" priority="15" stopIfTrue="1" operator="equal">
      <formula>"N"</formula>
    </cfRule>
  </conditionalFormatting>
  <conditionalFormatting sqref="C528:L528">
    <cfRule type="cellIs" dxfId="29" priority="11" operator="equal">
      <formula>"Y"</formula>
    </cfRule>
    <cfRule type="cellIs" dxfId="28" priority="12" stopIfTrue="1" operator="equal">
      <formula>"N"</formula>
    </cfRule>
  </conditionalFormatting>
  <conditionalFormatting sqref="C579:L579">
    <cfRule type="cellIs" dxfId="27" priority="2" stopIfTrue="1" operator="equal">
      <formula>"N"</formula>
    </cfRule>
    <cfRule type="cellIs" dxfId="26" priority="1" operator="equal">
      <formula>"Y"</formula>
    </cfRule>
  </conditionalFormatting>
  <conditionalFormatting sqref="E135:J139 E129:J133 E141:J14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8:AC156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3:H15 F13:G22 H16:L22">
    <cfRule type="cellIs" dxfId="25" priority="8" stopIfTrue="1" operator="equal">
      <formula>"N"</formula>
    </cfRule>
    <cfRule type="cellIs" dxfId="24" priority="7" operator="equal">
      <formula>"Y"</formula>
    </cfRule>
  </conditionalFormatting>
  <conditionalFormatting sqref="K129:O13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5:O139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1:O14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29:U133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35:U139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41:U14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318:S321">
    <cfRule type="dataBar" priority="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{C25A5C6A-846E-1046-84D1-103ECB716410}</x14:id>
        </ext>
      </extLst>
    </cfRule>
  </conditionalFormatting>
  <conditionalFormatting sqref="T318:T321">
    <cfRule type="dataBar" priority="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{F47EEFDF-231E-DB4B-A9AA-AEC2AAB38F62}</x14:id>
        </ext>
      </extLst>
    </cfRule>
  </conditionalFormatting>
  <conditionalFormatting sqref="U318:U321">
    <cfRule type="dataBar" priority="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{8B8CBA5C-7511-FC4B-B531-4D29F953EA9A}</x14:id>
        </ext>
      </extLst>
    </cfRule>
  </conditionalFormatting>
  <conditionalFormatting sqref="U179:AC203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318:V321">
    <cfRule type="dataBar" priority="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{86470914-6B41-4D4A-AD78-5BD2BF4FC626}</x14:id>
        </ext>
      </extLst>
    </cfRule>
  </conditionalFormatting>
  <conditionalFormatting sqref="X318:AA321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{3BB980C0-4A63-5D43-A085-5F88069A801E}</x14:id>
        </ext>
      </extLst>
    </cfRule>
  </conditionalFormatting>
  <conditionalFormatting sqref="Y480:Y499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{CFAB95E5-64A4-C74E-BCAF-C991C0FFD438}</x14:id>
        </ext>
      </extLst>
    </cfRule>
  </conditionalFormatting>
  <conditionalFormatting sqref="Z383:Z391">
    <cfRule type="colorScale" priority="16">
      <colorScale>
        <cfvo type="num" val="0"/>
        <cfvo type="num" val="1"/>
        <color theme="1"/>
        <color theme="0"/>
      </colorScale>
    </cfRule>
  </conditionalFormatting>
  <conditionalFormatting sqref="AA383:AH390">
    <cfRule type="colorScale" priority="18">
      <colorScale>
        <cfvo type="num" val="0"/>
        <cfvo type="num" val="1"/>
        <color theme="1"/>
        <color theme="0"/>
      </colorScale>
    </cfRule>
  </conditionalFormatting>
  <conditionalFormatting sqref="AA391:AH391">
    <cfRule type="colorScale" priority="17">
      <colorScale>
        <cfvo type="num" val="0"/>
        <cfvo type="num" val="1"/>
        <color theme="1"/>
        <color theme="0"/>
      </colorScale>
    </cfRule>
  </conditionalFormatting>
  <conditionalFormatting sqref="AE164:AG166">
    <cfRule type="colorScale" priority="27">
      <colorScale>
        <cfvo type="min"/>
        <cfvo type="max"/>
        <color rgb="FF63BE7B"/>
        <color rgb="FFFFEF9C"/>
      </colorScale>
    </cfRule>
  </conditionalFormatting>
  <conditionalFormatting sqref="AE116:AI120">
    <cfRule type="colorScale" priority="37">
      <colorScale>
        <cfvo type="min"/>
        <cfvo type="max"/>
        <color theme="1" tint="0.34998626667073579"/>
        <color rgb="FFFCFCFF"/>
      </colorScale>
    </cfRule>
  </conditionalFormatting>
  <conditionalFormatting sqref="AE206:AI210">
    <cfRule type="colorScale" priority="30">
      <colorScale>
        <cfvo type="min"/>
        <cfvo type="max"/>
        <color theme="1" tint="0.34998626667073579"/>
        <color rgb="FFFCFCFF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5A5C6A-846E-1046-84D1-103ECB71641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S318:S321</xm:sqref>
        </x14:conditionalFormatting>
        <x14:conditionalFormatting xmlns:xm="http://schemas.microsoft.com/office/excel/2006/main">
          <x14:cfRule type="dataBar" id="{F47EEFDF-231E-DB4B-A9AA-AEC2AAB38F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T318:T321</xm:sqref>
        </x14:conditionalFormatting>
        <x14:conditionalFormatting xmlns:xm="http://schemas.microsoft.com/office/excel/2006/main">
          <x14:cfRule type="dataBar" id="{8B8CBA5C-7511-FC4B-B531-4D29F953EA9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U318:U321</xm:sqref>
        </x14:conditionalFormatting>
        <x14:conditionalFormatting xmlns:xm="http://schemas.microsoft.com/office/excel/2006/main">
          <x14:cfRule type="dataBar" id="{86470914-6B41-4D4A-AD78-5BD2BF4FC62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V318:V321</xm:sqref>
        </x14:conditionalFormatting>
        <x14:conditionalFormatting xmlns:xm="http://schemas.microsoft.com/office/excel/2006/main">
          <x14:cfRule type="dataBar" id="{3BB980C0-4A63-5D43-A085-5F88069A8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X318:AA321</xm:sqref>
        </x14:conditionalFormatting>
        <x14:conditionalFormatting xmlns:xm="http://schemas.microsoft.com/office/excel/2006/main">
          <x14:cfRule type="dataBar" id="{CFAB95E5-64A4-C74E-BCAF-C991C0FFD43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Y480:Y499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58CF-28D0-084C-B9AE-1E40DF3C77C9}">
  <dimension ref="A1:AU590"/>
  <sheetViews>
    <sheetView topLeftCell="A542" zoomScale="91" zoomScaleNormal="91" workbookViewId="0">
      <selection activeCell="K578" sqref="K578"/>
    </sheetView>
  </sheetViews>
  <sheetFormatPr defaultColWidth="4.875" defaultRowHeight="24" customHeight="1"/>
  <cols>
    <col min="3" max="7" width="5" bestFit="1" customWidth="1"/>
    <col min="10" max="18" width="5" bestFit="1" customWidth="1"/>
    <col min="20" max="23" width="5" bestFit="1" customWidth="1"/>
    <col min="25" max="27" width="5" bestFit="1" customWidth="1"/>
    <col min="30" max="32" width="5" bestFit="1" customWidth="1"/>
    <col min="33" max="33" width="5.375" bestFit="1" customWidth="1"/>
  </cols>
  <sheetData>
    <row r="1" spans="1:15" s="89" customFormat="1" ht="32.1">
      <c r="A1" s="142" t="s">
        <v>0</v>
      </c>
    </row>
    <row r="4" spans="1:15" ht="24" customHeight="1">
      <c r="E4" s="144">
        <v>5</v>
      </c>
      <c r="N4" s="54">
        <v>2</v>
      </c>
      <c r="O4" s="54">
        <v>1</v>
      </c>
    </row>
    <row r="5" spans="1:15" ht="24" customHeight="1">
      <c r="N5" s="55">
        <v>4</v>
      </c>
      <c r="O5" s="55">
        <v>1</v>
      </c>
    </row>
    <row r="6" spans="1:15" ht="24" customHeight="1">
      <c r="C6" s="143">
        <v>4</v>
      </c>
      <c r="E6" s="48">
        <f>C6*E4</f>
        <v>20</v>
      </c>
      <c r="N6" s="56">
        <v>3</v>
      </c>
      <c r="O6" s="56">
        <v>1</v>
      </c>
    </row>
    <row r="8" spans="1:15" ht="24" customHeight="1">
      <c r="J8" s="58">
        <v>1</v>
      </c>
      <c r="K8" s="59">
        <v>2</v>
      </c>
      <c r="L8" s="60">
        <v>1</v>
      </c>
      <c r="N8" s="79" cm="1">
        <f t="array" ref="N8:O9">MMULT(J8:L9,N4:O6)</f>
        <v>13</v>
      </c>
      <c r="O8" s="81">
        <v>4</v>
      </c>
    </row>
    <row r="9" spans="1:15" ht="24" customHeight="1">
      <c r="J9" s="58">
        <v>0</v>
      </c>
      <c r="K9" s="59">
        <v>4</v>
      </c>
      <c r="L9" s="60">
        <v>3</v>
      </c>
      <c r="N9" s="84">
        <v>25</v>
      </c>
      <c r="O9" s="86">
        <v>7</v>
      </c>
    </row>
    <row r="12" spans="1:15" s="51" customFormat="1" ht="24" customHeight="1"/>
    <row r="13" spans="1:15" ht="24" customHeight="1">
      <c r="C13" s="1">
        <v>1</v>
      </c>
      <c r="D13" s="1">
        <v>2</v>
      </c>
      <c r="E13" s="1">
        <v>3</v>
      </c>
    </row>
    <row r="14" spans="1:15" ht="24" customHeight="1">
      <c r="A14" s="50" t="s">
        <v>1</v>
      </c>
      <c r="B14" s="50"/>
      <c r="C14" s="49">
        <f>E6</f>
        <v>20</v>
      </c>
      <c r="D14" s="49">
        <f>N9</f>
        <v>25</v>
      </c>
      <c r="E14" s="49">
        <f>O8</f>
        <v>4</v>
      </c>
    </row>
    <row r="15" spans="1:15" ht="24" customHeight="1">
      <c r="A15" s="50" t="s">
        <v>2</v>
      </c>
      <c r="B15" s="50"/>
      <c r="C15" s="49">
        <v>20</v>
      </c>
      <c r="D15" s="49">
        <v>25</v>
      </c>
      <c r="E15" s="49">
        <v>4</v>
      </c>
    </row>
    <row r="16" spans="1:15" ht="24" customHeight="1">
      <c r="A16" s="50" t="s">
        <v>3</v>
      </c>
      <c r="C16" s="49" t="str">
        <f>IF(C14=C15,"Y","N")</f>
        <v>Y</v>
      </c>
      <c r="D16" s="49" t="str">
        <f t="shared" ref="D16" si="0">IF(D14=D15,"Y","N")</f>
        <v>Y</v>
      </c>
      <c r="E16" s="49" t="str">
        <f t="shared" ref="E16" si="1">IF(E14=E15,"Y","N")</f>
        <v>Y</v>
      </c>
    </row>
    <row r="17" spans="1:33" ht="24" customHeight="1">
      <c r="A17" s="50"/>
      <c r="C17" s="1"/>
      <c r="D17" s="1"/>
      <c r="E17" s="1"/>
    </row>
    <row r="18" spans="1:33" ht="24" customHeight="1">
      <c r="A18" s="50"/>
      <c r="C18" s="1"/>
      <c r="D18" s="1"/>
      <c r="E18" s="1"/>
    </row>
    <row r="19" spans="1:33" ht="24" customHeight="1">
      <c r="A19" s="50"/>
      <c r="C19" s="1"/>
      <c r="D19" s="1"/>
      <c r="E19" s="1"/>
    </row>
    <row r="20" spans="1:33" ht="24" customHeight="1">
      <c r="A20" s="50"/>
      <c r="C20" s="1"/>
      <c r="D20" s="1"/>
      <c r="E20" s="1"/>
    </row>
    <row r="21" spans="1:33" ht="24" customHeight="1">
      <c r="A21" s="50"/>
      <c r="C21" s="1"/>
      <c r="D21" s="1"/>
      <c r="E21" s="1"/>
    </row>
    <row r="22" spans="1:33" ht="24" customHeight="1">
      <c r="A22" s="50"/>
      <c r="C22" s="1"/>
      <c r="D22" s="1"/>
      <c r="E22" s="1"/>
    </row>
    <row r="24" spans="1:33" s="89" customFormat="1" ht="32.1">
      <c r="A24" s="142" t="s">
        <v>4</v>
      </c>
    </row>
    <row r="26" spans="1:33" s="33" customFormat="1" ht="24" customHeight="1">
      <c r="A26" s="33" t="s">
        <v>5</v>
      </c>
    </row>
    <row r="27" spans="1:33" ht="24" customHeight="1">
      <c r="AC27" t="s">
        <v>6</v>
      </c>
    </row>
    <row r="28" spans="1:33" ht="24" customHeight="1">
      <c r="AD28" t="s">
        <v>7</v>
      </c>
      <c r="AE28" t="s">
        <v>8</v>
      </c>
      <c r="AF28" t="s">
        <v>9</v>
      </c>
      <c r="AG28" t="s">
        <v>10</v>
      </c>
    </row>
    <row r="29" spans="1:33" ht="24" customHeight="1">
      <c r="AC29" t="s">
        <v>11</v>
      </c>
      <c r="AD29" s="90">
        <v>1.3832697579362332</v>
      </c>
      <c r="AE29" s="90">
        <v>-0.50299166668404671</v>
      </c>
      <c r="AF29" s="90">
        <v>-1.4461223789941873</v>
      </c>
      <c r="AG29" s="90">
        <v>-8.9911680774753098</v>
      </c>
    </row>
    <row r="30" spans="1:33" ht="24" customHeight="1">
      <c r="AC30" t="s">
        <v>12</v>
      </c>
      <c r="AD30" s="91">
        <v>-0.36602540378443882</v>
      </c>
      <c r="AE30" s="91">
        <v>0.12996712698184262</v>
      </c>
      <c r="AF30" s="91">
        <v>0.37796339236498322</v>
      </c>
      <c r="AG30" s="91">
        <v>2.3619335154301089</v>
      </c>
    </row>
    <row r="31" spans="1:33" ht="24" customHeight="1">
      <c r="AC31" t="s">
        <v>13</v>
      </c>
      <c r="AD31" s="92">
        <v>-0.97600726460589093</v>
      </c>
      <c r="AE31" s="92">
        <v>1.023992735394109</v>
      </c>
      <c r="AF31" s="92">
        <v>2.0239927353941094</v>
      </c>
      <c r="AG31" s="92">
        <v>10.02399273539411</v>
      </c>
    </row>
    <row r="33" spans="3:33" ht="24" customHeight="1">
      <c r="X33" t="s">
        <v>14</v>
      </c>
      <c r="AC33" t="s">
        <v>15</v>
      </c>
    </row>
    <row r="34" spans="3:33" ht="24" customHeight="1">
      <c r="Y34" t="s">
        <v>16</v>
      </c>
      <c r="AD34" t="s">
        <v>17</v>
      </c>
      <c r="AE34" t="s">
        <v>18</v>
      </c>
      <c r="AF34" t="s">
        <v>19</v>
      </c>
      <c r="AG34" t="s">
        <v>20</v>
      </c>
    </row>
    <row r="35" spans="3:33" ht="24" customHeight="1">
      <c r="Y35" s="79">
        <v>100</v>
      </c>
      <c r="Z35" s="80">
        <v>0</v>
      </c>
      <c r="AA35" s="81">
        <v>300</v>
      </c>
      <c r="AC35" t="s">
        <v>21</v>
      </c>
      <c r="AD35" s="93" cm="1">
        <f t="array" ref="AD35:AG37">MMULT(Y35:AA37,AD29:AG31)</f>
        <v>-154.47520358814398</v>
      </c>
      <c r="AE35" s="93">
        <v>256.89865394982803</v>
      </c>
      <c r="AF35" s="93">
        <v>462.58558271881418</v>
      </c>
      <c r="AG35" s="93">
        <v>2108.0810128707021</v>
      </c>
    </row>
    <row r="36" spans="3:33" ht="24" customHeight="1">
      <c r="Y36" s="82">
        <v>0</v>
      </c>
      <c r="Z36">
        <v>200</v>
      </c>
      <c r="AA36" s="83">
        <v>200</v>
      </c>
      <c r="AC36" t="s">
        <v>22</v>
      </c>
      <c r="AD36" s="94">
        <v>-268.40653367806595</v>
      </c>
      <c r="AE36" s="94">
        <v>230.79197247519033</v>
      </c>
      <c r="AF36" s="94">
        <v>480.39122555181848</v>
      </c>
      <c r="AG36" s="94">
        <v>2477.1852501648436</v>
      </c>
    </row>
    <row r="37" spans="3:33" ht="24" customHeight="1">
      <c r="Y37" s="84">
        <v>0</v>
      </c>
      <c r="Z37" s="85">
        <v>0</v>
      </c>
      <c r="AA37" s="86">
        <v>1</v>
      </c>
      <c r="AD37">
        <v>-0.97600726460589093</v>
      </c>
      <c r="AE37">
        <v>1.023992735394109</v>
      </c>
      <c r="AF37">
        <v>2.0239927353941094</v>
      </c>
      <c r="AG37">
        <v>10.02399273539411</v>
      </c>
    </row>
    <row r="40" spans="3:33" ht="24" customHeight="1">
      <c r="I40" t="s">
        <v>23</v>
      </c>
      <c r="O40" t="s">
        <v>24</v>
      </c>
      <c r="T40" t="s">
        <v>25</v>
      </c>
      <c r="X40" t="s">
        <v>26</v>
      </c>
      <c r="AC40" t="s">
        <v>6</v>
      </c>
    </row>
    <row r="41" spans="3:33" ht="24" customHeight="1" thickBot="1">
      <c r="J41" t="s">
        <v>27</v>
      </c>
      <c r="P41" t="s">
        <v>28</v>
      </c>
      <c r="T41" t="s">
        <v>29</v>
      </c>
      <c r="Y41" t="s">
        <v>30</v>
      </c>
      <c r="AD41" t="s">
        <v>7</v>
      </c>
      <c r="AE41" t="s">
        <v>8</v>
      </c>
      <c r="AF41" t="s">
        <v>9</v>
      </c>
      <c r="AG41" t="s">
        <v>10</v>
      </c>
    </row>
    <row r="42" spans="3:33" ht="24" customHeight="1">
      <c r="J42" s="79">
        <v>100</v>
      </c>
      <c r="K42" s="80">
        <v>0</v>
      </c>
      <c r="L42" s="81">
        <v>0</v>
      </c>
      <c r="P42" s="95">
        <v>0.01</v>
      </c>
      <c r="Q42" s="80">
        <v>0</v>
      </c>
      <c r="R42" s="81">
        <v>0</v>
      </c>
      <c r="T42" s="96">
        <v>1.2699057214975119E-18</v>
      </c>
      <c r="U42" s="97">
        <v>-0.97600726460589093</v>
      </c>
      <c r="V42" s="98">
        <v>0.36602540378443882</v>
      </c>
      <c r="Y42" s="95">
        <v>0.01</v>
      </c>
      <c r="Z42" s="80">
        <v>0</v>
      </c>
      <c r="AA42" s="81">
        <v>-3</v>
      </c>
      <c r="AC42" t="s">
        <v>11</v>
      </c>
      <c r="AD42" s="90" cm="1">
        <f t="array" ref="AD42:AG44">MMULT(Y42:AA44,AD35:AG37)</f>
        <v>1.3832697579362327</v>
      </c>
      <c r="AE42" s="90">
        <v>-0.50299166668404638</v>
      </c>
      <c r="AF42" s="90">
        <v>-1.4461223789941862</v>
      </c>
      <c r="AG42" s="90">
        <v>-8.991168077475308</v>
      </c>
    </row>
    <row r="43" spans="3:33" ht="24" customHeight="1">
      <c r="J43" s="82">
        <v>0</v>
      </c>
      <c r="K43">
        <v>200</v>
      </c>
      <c r="L43" s="83">
        <v>0</v>
      </c>
      <c r="P43" s="82">
        <v>0</v>
      </c>
      <c r="Q43" s="104">
        <v>5.0000000000000001E-3</v>
      </c>
      <c r="R43" s="83">
        <v>0</v>
      </c>
      <c r="T43" s="99">
        <v>0.97600726460589116</v>
      </c>
      <c r="U43">
        <v>-1.0690894390537482E-18</v>
      </c>
      <c r="V43" s="100">
        <v>1.383269757936233</v>
      </c>
      <c r="Y43" s="82">
        <v>0</v>
      </c>
      <c r="Z43" s="104">
        <v>5.0000000000000001E-3</v>
      </c>
      <c r="AA43" s="83">
        <v>-1</v>
      </c>
      <c r="AC43" t="s">
        <v>12</v>
      </c>
      <c r="AD43" s="91">
        <v>-0.36602540378443893</v>
      </c>
      <c r="AE43" s="91">
        <v>0.12996712698184276</v>
      </c>
      <c r="AF43" s="91">
        <v>0.377963392364983</v>
      </c>
      <c r="AG43" s="91">
        <v>2.361933515430108</v>
      </c>
    </row>
    <row r="44" spans="3:33" ht="24" customHeight="1" thickBot="1">
      <c r="J44" s="84">
        <v>300</v>
      </c>
      <c r="K44" s="85">
        <v>200</v>
      </c>
      <c r="L44" s="86">
        <v>1</v>
      </c>
      <c r="P44" s="84">
        <v>-3</v>
      </c>
      <c r="Q44" s="85">
        <v>-1</v>
      </c>
      <c r="R44" s="86">
        <v>1</v>
      </c>
      <c r="T44" s="101">
        <v>-0.36602540378443887</v>
      </c>
      <c r="U44" s="102">
        <v>-1.383269757936233</v>
      </c>
      <c r="V44" s="103">
        <v>4.4992322300638846E-19</v>
      </c>
      <c r="Y44" s="84">
        <v>0</v>
      </c>
      <c r="Z44" s="85">
        <v>0</v>
      </c>
      <c r="AA44" s="86">
        <v>1</v>
      </c>
      <c r="AC44" t="s">
        <v>13</v>
      </c>
      <c r="AD44" s="92">
        <v>-0.97600726460589093</v>
      </c>
      <c r="AE44" s="92">
        <v>1.023992735394109</v>
      </c>
      <c r="AF44" s="92">
        <v>2.0239927353941094</v>
      </c>
      <c r="AG44" s="92">
        <v>10.02399273539411</v>
      </c>
    </row>
    <row r="46" spans="3:33" ht="24" customHeight="1">
      <c r="C46" t="s">
        <v>31</v>
      </c>
      <c r="I46" t="s">
        <v>32</v>
      </c>
      <c r="O46" t="s">
        <v>31</v>
      </c>
    </row>
    <row r="47" spans="3:33" ht="24" customHeight="1">
      <c r="D47" t="s">
        <v>11</v>
      </c>
      <c r="E47" t="s">
        <v>12</v>
      </c>
      <c r="F47" t="s">
        <v>13</v>
      </c>
      <c r="J47" t="s">
        <v>21</v>
      </c>
      <c r="K47" t="s">
        <v>22</v>
      </c>
      <c r="P47" t="s">
        <v>11</v>
      </c>
      <c r="Q47" t="s">
        <v>12</v>
      </c>
      <c r="R47" t="s">
        <v>13</v>
      </c>
      <c r="AD47" t="s">
        <v>33</v>
      </c>
    </row>
    <row r="48" spans="3:33" ht="24" customHeight="1">
      <c r="C48" t="s">
        <v>34</v>
      </c>
      <c r="D48" s="105">
        <v>-1.8862614246202796</v>
      </c>
      <c r="E48" s="106">
        <v>0.49599253076628136</v>
      </c>
      <c r="F48" s="107">
        <v>2</v>
      </c>
      <c r="I48" t="s">
        <v>35</v>
      </c>
      <c r="J48" s="108" cm="1">
        <f t="array" ref="J48:L48">MMULT(D48:F48,J42:L44)</f>
        <v>411.37385753797207</v>
      </c>
      <c r="K48" s="109">
        <v>499.19850615325629</v>
      </c>
      <c r="L48">
        <v>2</v>
      </c>
      <c r="O48" t="s">
        <v>34</v>
      </c>
      <c r="P48" s="105" cm="1">
        <f t="array" ref="P48:R48">MMULT(J48:L48,P42:R44)</f>
        <v>-1.8862614246202796</v>
      </c>
      <c r="Q48" s="106">
        <v>0.49599253076628136</v>
      </c>
      <c r="R48" s="107">
        <v>2</v>
      </c>
      <c r="T48" s="35" cm="1">
        <f t="array" ref="T48:V48">MMULT(_xlfn.ANCHORARRAY(P48),T42:V44)</f>
        <v>-0.24795849435072614</v>
      </c>
      <c r="U48" s="88">
        <v>-0.92553466249721583</v>
      </c>
      <c r="V48" s="36">
        <v>-4.3281316183949583E-3</v>
      </c>
      <c r="AD48" s="110" cm="1">
        <f t="array" ref="AD48:AG48">MMULT(_xlfn.ANCHORARRAY(T48),_xlfn.ANCHORARRAY(AD42))</f>
        <v>7.5460471204991109E-17</v>
      </c>
      <c r="AE48" s="110">
        <v>-1.717376241217039E-16</v>
      </c>
      <c r="AF48" s="110">
        <v>2.9837243786801082E-16</v>
      </c>
      <c r="AG48" s="110">
        <v>2.1371793224034263E-15</v>
      </c>
    </row>
    <row r="53" spans="1:33" s="33" customFormat="1" ht="24" customHeight="1">
      <c r="A53" s="33" t="s">
        <v>36</v>
      </c>
    </row>
    <row r="55" spans="1:33" ht="24" customHeight="1">
      <c r="Y55" t="s">
        <v>37</v>
      </c>
    </row>
    <row r="56" spans="1:33" ht="24" customHeight="1" thickBot="1">
      <c r="P56" t="s">
        <v>28</v>
      </c>
      <c r="T56" t="s">
        <v>38</v>
      </c>
      <c r="Y56" t="s">
        <v>39</v>
      </c>
      <c r="AD56" t="s">
        <v>17</v>
      </c>
      <c r="AE56" t="s">
        <v>18</v>
      </c>
      <c r="AF56" t="s">
        <v>19</v>
      </c>
      <c r="AG56" t="s">
        <v>20</v>
      </c>
    </row>
    <row r="57" spans="1:33" ht="24" customHeight="1">
      <c r="P57" s="95">
        <v>0.01</v>
      </c>
      <c r="Q57" s="80">
        <v>0</v>
      </c>
      <c r="R57" s="81">
        <v>0</v>
      </c>
      <c r="T57" s="79" cm="1">
        <f t="array" ref="T57:V59">MMULT(P57:R59,T42:V44)</f>
        <v>1.269905721497512E-20</v>
      </c>
      <c r="U57" s="80">
        <v>-9.7600726460589093E-3</v>
      </c>
      <c r="V57" s="81">
        <v>3.6602540378443882E-3</v>
      </c>
      <c r="Y57" s="96" cm="1">
        <f t="array" ref="Y57:AA59">MMULT(_xlfn.ANCHORARRAY(T57),Y42:AA44)</f>
        <v>1.2699057214975119E-22</v>
      </c>
      <c r="Z57" s="97">
        <v>-4.880036323029455E-5</v>
      </c>
      <c r="AA57" s="98">
        <v>1.3420326683903298E-2</v>
      </c>
      <c r="AC57" t="s">
        <v>21</v>
      </c>
      <c r="AD57" s="93" cm="1">
        <f t="array" ref="AD57:AG59">_xlfn.ANCHORARRAY(AD35)</f>
        <v>-154.47520358814398</v>
      </c>
      <c r="AE57" s="93">
        <v>256.89865394982803</v>
      </c>
      <c r="AF57" s="93">
        <v>462.58558271881418</v>
      </c>
      <c r="AG57" s="93">
        <v>2108.0810128707021</v>
      </c>
    </row>
    <row r="58" spans="1:33" ht="24" customHeight="1">
      <c r="P58" s="82">
        <v>0</v>
      </c>
      <c r="Q58" s="104">
        <v>5.0000000000000001E-3</v>
      </c>
      <c r="R58" s="83">
        <v>0</v>
      </c>
      <c r="T58" s="82">
        <v>4.8800363230294555E-3</v>
      </c>
      <c r="U58">
        <v>-5.3454471952687414E-21</v>
      </c>
      <c r="V58" s="83">
        <v>6.9163487896811652E-3</v>
      </c>
      <c r="Y58" s="99">
        <v>4.8800363230294557E-5</v>
      </c>
      <c r="Z58">
        <v>-2.6727235976343706E-23</v>
      </c>
      <c r="AA58" s="100">
        <v>-7.7237601794072023E-3</v>
      </c>
      <c r="AC58" t="s">
        <v>22</v>
      </c>
      <c r="AD58" s="94">
        <v>-268.40653367806595</v>
      </c>
      <c r="AE58" s="94">
        <v>230.79197247519033</v>
      </c>
      <c r="AF58" s="94">
        <v>480.39122555181848</v>
      </c>
      <c r="AG58" s="94">
        <v>2477.1852501648436</v>
      </c>
    </row>
    <row r="59" spans="1:33" ht="24" customHeight="1" thickBot="1">
      <c r="P59" s="84">
        <v>-3</v>
      </c>
      <c r="Q59" s="85">
        <v>-1</v>
      </c>
      <c r="R59" s="86">
        <v>1</v>
      </c>
      <c r="T59" s="84">
        <v>-1.3420326683903301</v>
      </c>
      <c r="U59" s="85">
        <v>1.5447520358814397</v>
      </c>
      <c r="V59" s="86">
        <v>-2.4813459692895492</v>
      </c>
      <c r="Y59" s="101">
        <v>-1.3420326683903302E-2</v>
      </c>
      <c r="Z59" s="102">
        <v>7.7237601794071988E-3</v>
      </c>
      <c r="AA59" s="103">
        <v>8.8817841970012523E-16</v>
      </c>
      <c r="AD59">
        <v>-0.97600726460589093</v>
      </c>
      <c r="AE59">
        <v>1.023992735394109</v>
      </c>
      <c r="AF59">
        <v>2.0239927353941094</v>
      </c>
      <c r="AG59">
        <v>10.02399273539411</v>
      </c>
    </row>
    <row r="61" spans="1:33" ht="24" customHeight="1">
      <c r="T61" t="s">
        <v>32</v>
      </c>
    </row>
    <row r="62" spans="1:33" ht="24" customHeight="1">
      <c r="U62" t="s">
        <v>21</v>
      </c>
      <c r="V62" t="s">
        <v>22</v>
      </c>
      <c r="AD62" t="s">
        <v>40</v>
      </c>
    </row>
    <row r="63" spans="1:33" ht="24" customHeight="1">
      <c r="T63" t="s">
        <v>35</v>
      </c>
      <c r="U63" s="108" cm="1">
        <f t="array" ref="U63:W63">_xlfn.ANCHORARRAY(J48)</f>
        <v>411.37385753797207</v>
      </c>
      <c r="V63" s="109">
        <v>499.19850615325629</v>
      </c>
      <c r="W63">
        <v>2</v>
      </c>
      <c r="Y63" s="35" cm="1">
        <f t="array" ref="Y63:AA63">MMULT(U63:W63,_xlfn.ANCHORARRAY(Y57))</f>
        <v>-2.4795849435072653E-3</v>
      </c>
      <c r="Z63" s="88">
        <v>-4.6276733124860844E-3</v>
      </c>
      <c r="AA63" s="36">
        <v>1.6650820139309999</v>
      </c>
      <c r="AD63" s="110" cm="1">
        <f t="array" ref="AD63:AG63">MMULT(_xlfn.ANCHORARRAY(Y63),AD57:AG59)</f>
        <v>1.3322676295501878E-15</v>
      </c>
      <c r="AE63" s="110">
        <v>-1.7763568394002505E-15</v>
      </c>
      <c r="AF63" s="110">
        <v>-2.6645352591003757E-15</v>
      </c>
      <c r="AG63" s="110">
        <v>-1.4210854715202004E-14</v>
      </c>
    </row>
    <row r="65" spans="1:15" s="51" customFormat="1" ht="24" customHeight="1"/>
    <row r="66" spans="1:15" ht="24" customHeight="1">
      <c r="C66" s="1">
        <v>1</v>
      </c>
      <c r="D66" s="1">
        <v>2</v>
      </c>
      <c r="E66" s="1">
        <v>3</v>
      </c>
      <c r="F66" s="1">
        <v>4</v>
      </c>
      <c r="G66" s="1">
        <v>5</v>
      </c>
    </row>
    <row r="67" spans="1:15" ht="24" customHeight="1">
      <c r="A67" s="50" t="s">
        <v>1</v>
      </c>
      <c r="B67" s="50"/>
      <c r="C67" s="49">
        <f>AE36</f>
        <v>230.79197247519033</v>
      </c>
      <c r="D67" s="49">
        <f>AG43</f>
        <v>2.361933515430108</v>
      </c>
      <c r="E67" s="49">
        <f>AF48</f>
        <v>2.9837243786801082E-16</v>
      </c>
      <c r="F67" s="49">
        <f>AA58</f>
        <v>-7.7237601794072023E-3</v>
      </c>
      <c r="G67" s="49">
        <f>AG63</f>
        <v>-1.4210854715202004E-14</v>
      </c>
    </row>
    <row r="68" spans="1:15" ht="24" customHeight="1">
      <c r="A68" s="50" t="s">
        <v>2</v>
      </c>
      <c r="B68" s="50"/>
      <c r="C68" s="49">
        <v>230.79197247519033</v>
      </c>
      <c r="D68" s="49">
        <v>2.361933515430108</v>
      </c>
      <c r="E68" s="49">
        <v>2.9837243786801082E-16</v>
      </c>
      <c r="F68" s="49">
        <v>-7.7237601794072023E-3</v>
      </c>
      <c r="G68" s="49">
        <v>-1.4210854715202004E-14</v>
      </c>
    </row>
    <row r="69" spans="1:15" ht="24" customHeight="1">
      <c r="A69" s="50" t="s">
        <v>3</v>
      </c>
      <c r="C69" s="49" t="str">
        <f>IF(C67=C68,"Y","N")</f>
        <v>Y</v>
      </c>
      <c r="D69" s="49" t="str">
        <f t="shared" ref="D69" si="2">IF(D67=D68,"Y","N")</f>
        <v>Y</v>
      </c>
      <c r="E69" s="49" t="str">
        <f t="shared" ref="E69" si="3">IF(E67=E68,"Y","N")</f>
        <v>Y</v>
      </c>
      <c r="F69" s="49" t="str">
        <f t="shared" ref="F69" si="4">IF(F67=F68,"Y","N")</f>
        <v>Y</v>
      </c>
      <c r="G69" s="49" t="str">
        <f t="shared" ref="G69" si="5">IF(G67=G68,"Y","N")</f>
        <v>Y</v>
      </c>
    </row>
    <row r="70" spans="1:15" ht="24" customHeight="1">
      <c r="A70" s="50"/>
      <c r="C70" s="1"/>
      <c r="D70" s="1"/>
      <c r="E70" s="1"/>
      <c r="F70" s="1"/>
      <c r="G70" s="1"/>
    </row>
    <row r="71" spans="1:15" ht="24" customHeight="1">
      <c r="A71" s="50"/>
      <c r="C71" s="1"/>
      <c r="D71" s="1"/>
      <c r="E71" s="1"/>
      <c r="F71" s="1"/>
      <c r="G71" s="1"/>
    </row>
    <row r="72" spans="1:15" ht="24" customHeight="1">
      <c r="A72" s="50"/>
      <c r="C72" s="1"/>
      <c r="D72" s="1"/>
      <c r="E72" s="1"/>
      <c r="F72" s="1"/>
      <c r="G72" s="1"/>
    </row>
    <row r="73" spans="1:15" ht="24" customHeight="1">
      <c r="A73" s="50"/>
      <c r="C73" s="1"/>
      <c r="D73" s="1"/>
      <c r="E73" s="1"/>
      <c r="F73" s="1"/>
      <c r="G73" s="1"/>
    </row>
    <row r="74" spans="1:15" ht="24" customHeight="1">
      <c r="A74" s="50"/>
      <c r="C74" s="1"/>
      <c r="D74" s="1"/>
      <c r="E74" s="1"/>
      <c r="F74" s="1"/>
      <c r="G74" s="1"/>
    </row>
    <row r="76" spans="1:15" s="89" customFormat="1" ht="32.1">
      <c r="A76" s="142" t="s">
        <v>41</v>
      </c>
    </row>
    <row r="78" spans="1:15" ht="24" customHeight="1">
      <c r="M78" s="1" t="s">
        <v>42</v>
      </c>
      <c r="N78" s="1" t="s">
        <v>43</v>
      </c>
      <c r="O78" s="1" t="s">
        <v>44</v>
      </c>
    </row>
    <row r="79" spans="1:15" ht="24" customHeight="1">
      <c r="E79" s="57"/>
      <c r="F79" s="57"/>
      <c r="G79" s="57"/>
      <c r="H79" s="57"/>
      <c r="I79" s="57"/>
      <c r="J79" s="57"/>
      <c r="K79" s="57"/>
      <c r="L79" s="57"/>
      <c r="M79" s="54">
        <v>2</v>
      </c>
      <c r="N79" s="54">
        <v>1</v>
      </c>
      <c r="O79" s="54">
        <v>1</v>
      </c>
    </row>
    <row r="80" spans="1:15" ht="24" customHeight="1">
      <c r="E80" s="57"/>
      <c r="F80" s="57"/>
      <c r="G80" s="57"/>
      <c r="H80" s="57"/>
      <c r="I80" s="57"/>
      <c r="J80" s="57"/>
      <c r="K80" s="57"/>
      <c r="L80" s="57"/>
      <c r="M80" s="55">
        <v>4</v>
      </c>
      <c r="N80" s="55">
        <v>1</v>
      </c>
      <c r="O80" s="55">
        <v>-2</v>
      </c>
    </row>
    <row r="81" spans="4:15" ht="24" customHeight="1">
      <c r="D81" s="57"/>
      <c r="E81" s="57"/>
      <c r="F81" s="57"/>
      <c r="G81" s="3" t="s">
        <v>45</v>
      </c>
      <c r="J81" s="57"/>
      <c r="L81" s="57"/>
      <c r="M81" s="56">
        <v>3</v>
      </c>
      <c r="N81" s="56">
        <v>1</v>
      </c>
      <c r="O81" s="56">
        <v>-1</v>
      </c>
    </row>
    <row r="82" spans="4:15" ht="24" customHeight="1">
      <c r="D82" s="57"/>
      <c r="E82" s="57"/>
      <c r="F82" s="57"/>
      <c r="G82" s="57"/>
      <c r="H82" s="57"/>
      <c r="I82" s="3"/>
      <c r="J82" s="3"/>
      <c r="L82" s="3" t="s">
        <v>46</v>
      </c>
      <c r="M82" s="57"/>
      <c r="N82" s="57"/>
      <c r="O82" s="57"/>
    </row>
    <row r="83" spans="4:15" ht="24" customHeight="1">
      <c r="D83" s="57"/>
      <c r="E83" s="57"/>
      <c r="F83" s="57"/>
      <c r="G83" s="1" t="s">
        <v>17</v>
      </c>
      <c r="H83" s="58">
        <v>1</v>
      </c>
      <c r="I83" s="59">
        <v>2</v>
      </c>
      <c r="J83" s="60">
        <v>1</v>
      </c>
      <c r="L83" s="57"/>
      <c r="M83" s="67" cm="1">
        <f t="array" ref="M83:O88">MMULT(H83:J88,M79:O81)</f>
        <v>13</v>
      </c>
      <c r="N83" s="67">
        <v>4</v>
      </c>
      <c r="O83" s="68">
        <v>-4</v>
      </c>
    </row>
    <row r="84" spans="4:15" ht="24" customHeight="1">
      <c r="D84" s="57"/>
      <c r="E84" s="57"/>
      <c r="F84" s="57"/>
      <c r="G84" s="1" t="s">
        <v>18</v>
      </c>
      <c r="H84" s="58">
        <v>0</v>
      </c>
      <c r="I84" s="59">
        <v>4</v>
      </c>
      <c r="J84" s="60">
        <v>3</v>
      </c>
      <c r="L84" s="57"/>
      <c r="M84" s="69">
        <v>25</v>
      </c>
      <c r="N84" s="69">
        <v>7</v>
      </c>
      <c r="O84" s="70">
        <v>-11</v>
      </c>
    </row>
    <row r="85" spans="4:15" ht="24" customHeight="1">
      <c r="D85" s="57"/>
      <c r="E85" s="57"/>
      <c r="F85" s="57"/>
      <c r="G85" s="1" t="s">
        <v>19</v>
      </c>
      <c r="H85" s="58">
        <v>0</v>
      </c>
      <c r="I85" s="59">
        <v>3</v>
      </c>
      <c r="J85" s="60">
        <v>0</v>
      </c>
      <c r="L85" s="57"/>
      <c r="M85" s="69">
        <v>12</v>
      </c>
      <c r="N85" s="69">
        <v>3</v>
      </c>
      <c r="O85" s="70">
        <v>-6</v>
      </c>
    </row>
    <row r="86" spans="4:15" ht="24" customHeight="1">
      <c r="D86" s="57"/>
      <c r="E86" s="57"/>
      <c r="F86" s="57"/>
      <c r="G86" s="1" t="s">
        <v>20</v>
      </c>
      <c r="H86" s="58">
        <v>0</v>
      </c>
      <c r="I86" s="59">
        <v>3</v>
      </c>
      <c r="J86" s="60">
        <v>1</v>
      </c>
      <c r="L86" s="57"/>
      <c r="M86" s="69">
        <v>15</v>
      </c>
      <c r="N86" s="69">
        <v>4</v>
      </c>
      <c r="O86" s="70">
        <v>-7</v>
      </c>
    </row>
    <row r="87" spans="4:15" ht="24" customHeight="1">
      <c r="D87" s="57"/>
      <c r="E87" s="57"/>
      <c r="F87" s="57"/>
      <c r="G87" s="1" t="s">
        <v>47</v>
      </c>
      <c r="H87" s="58">
        <v>5</v>
      </c>
      <c r="I87" s="59">
        <v>0</v>
      </c>
      <c r="J87" s="60">
        <v>3</v>
      </c>
      <c r="L87" s="57"/>
      <c r="M87" s="69">
        <v>19</v>
      </c>
      <c r="N87" s="69">
        <v>8</v>
      </c>
      <c r="O87" s="70">
        <v>2</v>
      </c>
    </row>
    <row r="88" spans="4:15" ht="24" customHeight="1">
      <c r="D88" s="57"/>
      <c r="E88" s="57"/>
      <c r="F88" s="57"/>
      <c r="G88" s="1" t="s">
        <v>48</v>
      </c>
      <c r="H88" s="58">
        <v>1</v>
      </c>
      <c r="I88" s="59">
        <v>-2</v>
      </c>
      <c r="J88" s="60">
        <v>3</v>
      </c>
      <c r="L88" s="57"/>
      <c r="M88" s="71">
        <v>3</v>
      </c>
      <c r="N88" s="71">
        <v>2</v>
      </c>
      <c r="O88" s="72">
        <v>2</v>
      </c>
    </row>
    <row r="89" spans="4:15" ht="24" customHeight="1">
      <c r="D89" s="57"/>
      <c r="E89" s="57"/>
      <c r="F89" s="57"/>
      <c r="G89" s="57"/>
      <c r="H89" s="57"/>
      <c r="I89" s="57"/>
      <c r="J89" s="57"/>
      <c r="L89" s="57" t="s">
        <v>49</v>
      </c>
      <c r="M89" s="57"/>
      <c r="N89" s="57"/>
      <c r="O89" s="57"/>
    </row>
    <row r="90" spans="4:15" ht="24" customHeight="1">
      <c r="D90" s="57"/>
      <c r="E90" s="57"/>
      <c r="F90" s="57"/>
      <c r="G90" s="57"/>
      <c r="H90" s="57"/>
      <c r="I90" s="1" t="s">
        <v>50</v>
      </c>
      <c r="J90" s="66">
        <v>1</v>
      </c>
      <c r="L90" s="57"/>
      <c r="M90" s="73" cm="1">
        <f t="array" ref="M90:O95">_xlfn.ANCHORARRAY(M83)*J90:J95</f>
        <v>13</v>
      </c>
      <c r="N90" s="61">
        <v>4</v>
      </c>
      <c r="O90" s="74">
        <v>-4</v>
      </c>
    </row>
    <row r="91" spans="4:15" ht="24" customHeight="1">
      <c r="D91" s="57"/>
      <c r="E91" s="57"/>
      <c r="F91" s="57"/>
      <c r="G91" s="57"/>
      <c r="H91" s="57"/>
      <c r="I91" s="1" t="s">
        <v>51</v>
      </c>
      <c r="J91" s="66">
        <v>-1</v>
      </c>
      <c r="L91" s="57"/>
      <c r="M91" s="75">
        <v>-25</v>
      </c>
      <c r="N91" s="62">
        <v>-7</v>
      </c>
      <c r="O91" s="76">
        <v>11</v>
      </c>
    </row>
    <row r="92" spans="4:15" ht="24" customHeight="1">
      <c r="D92" s="57"/>
      <c r="E92" s="57"/>
      <c r="F92" s="57"/>
      <c r="G92" s="57"/>
      <c r="H92" s="57"/>
      <c r="I92" s="1" t="s">
        <v>52</v>
      </c>
      <c r="J92" s="66">
        <v>1</v>
      </c>
      <c r="L92" s="57"/>
      <c r="M92" s="75">
        <v>12</v>
      </c>
      <c r="N92" s="62">
        <v>3</v>
      </c>
      <c r="O92" s="76">
        <v>-6</v>
      </c>
    </row>
    <row r="93" spans="4:15" ht="24" customHeight="1">
      <c r="D93" s="57"/>
      <c r="E93" s="57"/>
      <c r="F93" s="57"/>
      <c r="G93" s="57"/>
      <c r="H93" s="57"/>
      <c r="I93" s="1" t="s">
        <v>53</v>
      </c>
      <c r="J93" s="66">
        <v>-1</v>
      </c>
      <c r="L93" s="57"/>
      <c r="M93" s="75">
        <v>-15</v>
      </c>
      <c r="N93" s="62">
        <v>-4</v>
      </c>
      <c r="O93" s="76">
        <v>7</v>
      </c>
    </row>
    <row r="94" spans="4:15" ht="24" customHeight="1">
      <c r="D94" s="57"/>
      <c r="E94" s="57"/>
      <c r="F94" s="57"/>
      <c r="G94" s="57"/>
      <c r="H94" s="57"/>
      <c r="I94" s="1" t="s">
        <v>54</v>
      </c>
      <c r="J94" s="66">
        <v>1</v>
      </c>
      <c r="L94" s="57"/>
      <c r="M94" s="75">
        <v>19</v>
      </c>
      <c r="N94" s="62">
        <v>8</v>
      </c>
      <c r="O94" s="76">
        <v>2</v>
      </c>
    </row>
    <row r="95" spans="4:15" ht="24" customHeight="1">
      <c r="D95" s="57"/>
      <c r="E95" s="57"/>
      <c r="F95" s="57"/>
      <c r="G95" s="57"/>
      <c r="H95" s="57"/>
      <c r="I95" s="1" t="s">
        <v>55</v>
      </c>
      <c r="J95" s="66">
        <v>-1</v>
      </c>
      <c r="L95" s="57"/>
      <c r="M95" s="77">
        <v>-3</v>
      </c>
      <c r="N95" s="63">
        <v>-2</v>
      </c>
      <c r="O95" s="78">
        <v>-2</v>
      </c>
    </row>
    <row r="96" spans="4:15" ht="24" customHeight="1">
      <c r="D96" s="3" t="s">
        <v>56</v>
      </c>
      <c r="E96" s="57"/>
      <c r="F96" s="57"/>
      <c r="G96" s="57"/>
      <c r="H96" s="57"/>
      <c r="I96" s="57"/>
      <c r="J96" s="57"/>
      <c r="L96" s="57"/>
      <c r="M96" s="57">
        <v>1</v>
      </c>
      <c r="N96" s="57">
        <v>1</v>
      </c>
      <c r="O96" s="57">
        <v>1</v>
      </c>
    </row>
    <row r="97" spans="1:15" ht="24" customHeight="1">
      <c r="D97" s="1" t="s">
        <v>57</v>
      </c>
      <c r="E97" s="1" t="s">
        <v>58</v>
      </c>
      <c r="F97" s="1" t="s">
        <v>59</v>
      </c>
      <c r="G97" s="1" t="s">
        <v>60</v>
      </c>
      <c r="H97" s="1" t="s">
        <v>61</v>
      </c>
      <c r="I97" s="1" t="s">
        <v>62</v>
      </c>
      <c r="J97" s="1" t="s">
        <v>63</v>
      </c>
      <c r="L97" t="s">
        <v>64</v>
      </c>
      <c r="N97" s="57"/>
      <c r="O97" s="57"/>
    </row>
    <row r="98" spans="1:15" ht="24" customHeight="1">
      <c r="D98" s="64">
        <v>2</v>
      </c>
      <c r="E98" s="64">
        <v>0</v>
      </c>
      <c r="F98" s="64">
        <v>1</v>
      </c>
      <c r="G98" s="64">
        <v>1</v>
      </c>
      <c r="H98" s="64">
        <v>0</v>
      </c>
      <c r="I98" s="64">
        <v>1</v>
      </c>
      <c r="J98" s="65">
        <v>2</v>
      </c>
      <c r="L98" s="57"/>
      <c r="M98" s="66" cm="1">
        <f t="array" ref="M98:O98">MMULT(D98:J98,M90:O96)</f>
        <v>22</v>
      </c>
      <c r="N98" s="66">
        <v>7</v>
      </c>
      <c r="O98" s="66">
        <v>-7</v>
      </c>
    </row>
    <row r="99" spans="1:15" ht="24" customHeight="1">
      <c r="E99" s="57"/>
      <c r="F99" s="57"/>
      <c r="G99" s="57"/>
      <c r="H99" s="57"/>
      <c r="I99" s="57"/>
      <c r="J99" s="57"/>
      <c r="K99" s="57"/>
      <c r="L99" t="s">
        <v>65</v>
      </c>
      <c r="M99" s="57"/>
      <c r="N99" s="57"/>
      <c r="O99" s="57"/>
    </row>
    <row r="100" spans="1:15" ht="24" customHeight="1">
      <c r="D100" t="s">
        <v>66</v>
      </c>
      <c r="E100" s="57"/>
      <c r="F100" s="57"/>
      <c r="G100" s="57"/>
      <c r="H100" s="57"/>
      <c r="I100" s="57"/>
      <c r="J100" s="57"/>
      <c r="K100" s="57"/>
      <c r="L100" s="57"/>
      <c r="M100" s="66" cm="1">
        <f t="array" ref="M100:O100">SIGN(_xlfn.ANCHORARRAY(M98))</f>
        <v>1</v>
      </c>
      <c r="N100" s="66">
        <v>1</v>
      </c>
      <c r="O100" s="66">
        <v>-1</v>
      </c>
    </row>
    <row r="101" spans="1:15" ht="24" customHeight="1">
      <c r="D101" t="s">
        <v>67</v>
      </c>
      <c r="M101" s="1" t="s">
        <v>68</v>
      </c>
      <c r="N101" s="1" t="s">
        <v>69</v>
      </c>
      <c r="O101" s="1" t="s">
        <v>70</v>
      </c>
    </row>
    <row r="102" spans="1:15" ht="24" customHeight="1">
      <c r="M102" s="1"/>
      <c r="N102" s="1"/>
      <c r="O102" s="1"/>
    </row>
    <row r="103" spans="1:15" s="51" customFormat="1" ht="24" customHeight="1"/>
    <row r="104" spans="1:15" ht="24" customHeight="1">
      <c r="C104" s="1">
        <v>1</v>
      </c>
      <c r="D104" s="1">
        <v>2</v>
      </c>
      <c r="E104" s="1">
        <v>3</v>
      </c>
      <c r="F104" s="1">
        <v>4</v>
      </c>
      <c r="G104" s="1">
        <v>5</v>
      </c>
    </row>
    <row r="105" spans="1:15" ht="24" customHeight="1">
      <c r="A105" s="50" t="s">
        <v>1</v>
      </c>
      <c r="B105" s="50"/>
      <c r="C105" s="49">
        <f>N86</f>
        <v>4</v>
      </c>
      <c r="D105" s="49">
        <f>N90</f>
        <v>4</v>
      </c>
      <c r="E105" s="49">
        <f>M98</f>
        <v>22</v>
      </c>
      <c r="F105" s="49">
        <f>N100</f>
        <v>1</v>
      </c>
      <c r="G105" s="49">
        <f>O94</f>
        <v>2</v>
      </c>
    </row>
    <row r="106" spans="1:15" ht="24" customHeight="1">
      <c r="A106" s="50" t="s">
        <v>2</v>
      </c>
      <c r="B106" s="50"/>
      <c r="C106" s="49">
        <v>4</v>
      </c>
      <c r="D106" s="49">
        <v>4</v>
      </c>
      <c r="E106" s="49">
        <v>22</v>
      </c>
      <c r="F106" s="49">
        <v>1</v>
      </c>
      <c r="G106" s="49">
        <v>2</v>
      </c>
    </row>
    <row r="107" spans="1:15" ht="24" customHeight="1">
      <c r="A107" s="50" t="s">
        <v>3</v>
      </c>
      <c r="C107" s="49" t="str">
        <f>IF(C105=C106,"Y","N")</f>
        <v>Y</v>
      </c>
      <c r="D107" s="49" t="str">
        <f t="shared" ref="D107" si="6">IF(D105=D106,"Y","N")</f>
        <v>Y</v>
      </c>
      <c r="E107" s="49" t="str">
        <f t="shared" ref="E107" si="7">IF(E105=E106,"Y","N")</f>
        <v>Y</v>
      </c>
      <c r="F107" s="49" t="str">
        <f t="shared" ref="F107" si="8">IF(F105=F106,"Y","N")</f>
        <v>Y</v>
      </c>
      <c r="G107" s="49" t="str">
        <f t="shared" ref="G107" si="9">IF(G105=G106,"Y","N")</f>
        <v>Y</v>
      </c>
    </row>
    <row r="108" spans="1:15" ht="24" customHeight="1">
      <c r="A108" s="50"/>
      <c r="C108" s="1"/>
      <c r="D108" s="1"/>
      <c r="E108" s="1"/>
      <c r="F108" s="1"/>
      <c r="G108" s="1"/>
    </row>
    <row r="109" spans="1:15" ht="24" customHeight="1">
      <c r="A109" s="50"/>
      <c r="C109" s="1"/>
      <c r="D109" s="1"/>
      <c r="E109" s="1"/>
      <c r="F109" s="1"/>
      <c r="G109" s="1"/>
    </row>
    <row r="110" spans="1:15" ht="24" customHeight="1">
      <c r="A110" s="50"/>
      <c r="C110" s="1"/>
      <c r="D110" s="1"/>
      <c r="E110" s="1"/>
      <c r="F110" s="1"/>
      <c r="G110" s="1"/>
    </row>
    <row r="111" spans="1:15" ht="24" customHeight="1">
      <c r="A111" s="50"/>
      <c r="C111" s="1"/>
      <c r="D111" s="1"/>
      <c r="E111" s="1"/>
      <c r="F111" s="1"/>
      <c r="G111" s="1"/>
    </row>
    <row r="113" spans="1:35" s="89" customFormat="1" ht="32.1">
      <c r="A113" s="142" t="s">
        <v>71</v>
      </c>
    </row>
    <row r="115" spans="1:35" ht="24" customHeight="1">
      <c r="AA115" t="s">
        <v>72</v>
      </c>
      <c r="AE115" t="s">
        <v>73</v>
      </c>
    </row>
    <row r="116" spans="1:35" ht="24" customHeight="1">
      <c r="AA116" t="s">
        <v>74</v>
      </c>
      <c r="AD116" t="s">
        <v>75</v>
      </c>
      <c r="AE116" s="79">
        <v>3</v>
      </c>
      <c r="AF116" s="80">
        <v>-7.4270509831248424</v>
      </c>
      <c r="AG116" s="80">
        <v>-4.0729490168751585</v>
      </c>
      <c r="AH116" s="80">
        <v>-4.0729490168751568</v>
      </c>
      <c r="AI116" s="81">
        <v>-7.4270509831248432</v>
      </c>
    </row>
    <row r="117" spans="1:35" ht="24" customHeight="1">
      <c r="AE117" s="82">
        <v>5.9270509831248424</v>
      </c>
      <c r="AF117">
        <v>-1.309016994374947</v>
      </c>
      <c r="AG117">
        <v>1.1909830056250519</v>
      </c>
      <c r="AH117">
        <v>-3.118033988749894</v>
      </c>
      <c r="AI117" s="83">
        <v>2.3090169943749461</v>
      </c>
    </row>
    <row r="118" spans="1:35" ht="24" customHeight="1">
      <c r="AE118" s="82">
        <v>2.5729490168751585</v>
      </c>
      <c r="AF118">
        <v>-0.88196601125010554</v>
      </c>
      <c r="AG118">
        <v>-0.19098300562505344</v>
      </c>
      <c r="AH118">
        <v>1.1909830056250528</v>
      </c>
      <c r="AI118" s="83">
        <v>2.3090169943749457</v>
      </c>
    </row>
    <row r="119" spans="1:35" ht="24" customHeight="1">
      <c r="AE119" s="82">
        <v>2.5729490168751572</v>
      </c>
      <c r="AF119">
        <v>2.3090169943749466</v>
      </c>
      <c r="AG119">
        <v>1.1909830056250525</v>
      </c>
      <c r="AH119">
        <v>-0.19098300562505399</v>
      </c>
      <c r="AI119" s="83">
        <v>-0.88196601125010932</v>
      </c>
    </row>
    <row r="120" spans="1:35" ht="24" customHeight="1">
      <c r="AE120" s="84">
        <v>5.9270509831248415</v>
      </c>
      <c r="AF120" s="85">
        <v>2.3090169943749479</v>
      </c>
      <c r="AG120" s="85">
        <v>-3.1180339887498958</v>
      </c>
      <c r="AH120" s="85">
        <v>1.1909830056250543</v>
      </c>
      <c r="AI120" s="86">
        <v>-1.3090169943749483</v>
      </c>
    </row>
    <row r="122" spans="1:35" ht="24" customHeight="1">
      <c r="AE122" s="37" cm="1">
        <f t="array" ref="AE122:AE146">_xlfn.TOCOL(AE116:AI120)</f>
        <v>3</v>
      </c>
    </row>
    <row r="123" spans="1:35" ht="24" customHeight="1">
      <c r="AE123" s="87">
        <v>-7.4270509831248424</v>
      </c>
    </row>
    <row r="124" spans="1:35" ht="24" customHeight="1">
      <c r="AE124" s="87">
        <v>-4.0729490168751585</v>
      </c>
    </row>
    <row r="125" spans="1:35" ht="24" customHeight="1">
      <c r="AE125" s="87">
        <v>-4.0729490168751568</v>
      </c>
    </row>
    <row r="126" spans="1:35" ht="24" customHeight="1">
      <c r="AE126" s="87">
        <v>-7.4270509831248432</v>
      </c>
    </row>
    <row r="127" spans="1:35" ht="24" customHeight="1">
      <c r="E127" t="s">
        <v>76</v>
      </c>
      <c r="AE127" s="87">
        <v>5.9270509831248424</v>
      </c>
    </row>
    <row r="128" spans="1:35" ht="24" customHeight="1">
      <c r="AE128" s="87">
        <v>-1.309016994374947</v>
      </c>
    </row>
    <row r="129" spans="5:31" ht="24" customHeight="1">
      <c r="E129" s="79">
        <v>1</v>
      </c>
      <c r="F129" s="80">
        <v>1</v>
      </c>
      <c r="G129" s="80">
        <v>1</v>
      </c>
      <c r="H129" s="80">
        <v>1</v>
      </c>
      <c r="I129" s="81">
        <v>1</v>
      </c>
      <c r="K129" s="79">
        <v>1</v>
      </c>
      <c r="L129" s="80">
        <v>0.30901699437494745</v>
      </c>
      <c r="M129" s="80">
        <v>-0.80901699437494734</v>
      </c>
      <c r="N129" s="80">
        <v>-0.80901699437494745</v>
      </c>
      <c r="O129" s="81">
        <v>0.30901699437494723</v>
      </c>
      <c r="Q129" s="79">
        <v>1</v>
      </c>
      <c r="R129" s="80">
        <v>-0.80901699437494734</v>
      </c>
      <c r="S129" s="80">
        <v>0.30901699437494723</v>
      </c>
      <c r="T129" s="80">
        <v>0.30901699437494773</v>
      </c>
      <c r="U129" s="81">
        <v>-0.80901699437494767</v>
      </c>
      <c r="AE129" s="87">
        <v>1.1909830056250519</v>
      </c>
    </row>
    <row r="130" spans="5:31" ht="24" customHeight="1">
      <c r="E130" s="82">
        <v>1</v>
      </c>
      <c r="F130">
        <v>1</v>
      </c>
      <c r="G130">
        <v>1</v>
      </c>
      <c r="H130">
        <v>1</v>
      </c>
      <c r="I130" s="83">
        <v>1</v>
      </c>
      <c r="K130" s="82">
        <v>1</v>
      </c>
      <c r="L130">
        <v>0.30901699437494745</v>
      </c>
      <c r="M130">
        <v>-0.80901699437494734</v>
      </c>
      <c r="N130">
        <v>-0.80901699437494745</v>
      </c>
      <c r="O130" s="83">
        <v>0.30901699437494723</v>
      </c>
      <c r="Q130" s="82">
        <v>1</v>
      </c>
      <c r="R130">
        <v>-0.80901699437494734</v>
      </c>
      <c r="S130">
        <v>0.30901699437494723</v>
      </c>
      <c r="T130">
        <v>0.30901699437494773</v>
      </c>
      <c r="U130" s="83">
        <v>-0.80901699437494767</v>
      </c>
      <c r="AE130" s="87">
        <v>-3.118033988749894</v>
      </c>
    </row>
    <row r="131" spans="5:31" ht="24" customHeight="1">
      <c r="E131" s="82">
        <v>1</v>
      </c>
      <c r="F131">
        <v>1</v>
      </c>
      <c r="G131">
        <v>1</v>
      </c>
      <c r="H131">
        <v>1</v>
      </c>
      <c r="I131" s="83">
        <v>1</v>
      </c>
      <c r="K131" s="82">
        <v>1</v>
      </c>
      <c r="L131">
        <v>0.30901699437494745</v>
      </c>
      <c r="M131">
        <v>-0.80901699437494734</v>
      </c>
      <c r="N131">
        <v>-0.80901699437494745</v>
      </c>
      <c r="O131" s="83">
        <v>0.30901699437494723</v>
      </c>
      <c r="Q131" s="82">
        <v>1</v>
      </c>
      <c r="R131">
        <v>-0.80901699437494734</v>
      </c>
      <c r="S131">
        <v>0.30901699437494723</v>
      </c>
      <c r="T131">
        <v>0.30901699437494773</v>
      </c>
      <c r="U131" s="83">
        <v>-0.80901699437494767</v>
      </c>
      <c r="AE131" s="87">
        <v>2.3090169943749461</v>
      </c>
    </row>
    <row r="132" spans="5:31" ht="24" customHeight="1">
      <c r="E132" s="82">
        <v>1</v>
      </c>
      <c r="F132">
        <v>1</v>
      </c>
      <c r="G132">
        <v>1</v>
      </c>
      <c r="H132">
        <v>1</v>
      </c>
      <c r="I132" s="83">
        <v>1</v>
      </c>
      <c r="K132" s="82">
        <v>1</v>
      </c>
      <c r="L132">
        <v>0.30901699437494745</v>
      </c>
      <c r="M132">
        <v>-0.80901699437494734</v>
      </c>
      <c r="N132">
        <v>-0.80901699437494745</v>
      </c>
      <c r="O132" s="83">
        <v>0.30901699437494723</v>
      </c>
      <c r="Q132" s="82">
        <v>1</v>
      </c>
      <c r="R132">
        <v>-0.80901699437494734</v>
      </c>
      <c r="S132">
        <v>0.30901699437494723</v>
      </c>
      <c r="T132">
        <v>0.30901699437494773</v>
      </c>
      <c r="U132" s="83">
        <v>-0.80901699437494767</v>
      </c>
      <c r="AE132" s="87">
        <v>2.5729490168751585</v>
      </c>
    </row>
    <row r="133" spans="5:31" ht="24" customHeight="1">
      <c r="E133" s="84">
        <v>1</v>
      </c>
      <c r="F133" s="85">
        <v>1</v>
      </c>
      <c r="G133" s="85">
        <v>1</v>
      </c>
      <c r="H133" s="85">
        <v>1</v>
      </c>
      <c r="I133" s="86">
        <v>1</v>
      </c>
      <c r="K133" s="84">
        <v>1</v>
      </c>
      <c r="L133" s="85">
        <v>0.30901699437494745</v>
      </c>
      <c r="M133" s="85">
        <v>-0.80901699437494734</v>
      </c>
      <c r="N133" s="85">
        <v>-0.80901699437494745</v>
      </c>
      <c r="O133" s="86">
        <v>0.30901699437494723</v>
      </c>
      <c r="Q133" s="84">
        <v>1</v>
      </c>
      <c r="R133" s="85">
        <v>-0.80901699437494734</v>
      </c>
      <c r="S133" s="85">
        <v>0.30901699437494723</v>
      </c>
      <c r="T133" s="85">
        <v>0.30901699437494773</v>
      </c>
      <c r="U133" s="86">
        <v>-0.80901699437494767</v>
      </c>
      <c r="AE133" s="87">
        <v>-0.88196601125010554</v>
      </c>
    </row>
    <row r="134" spans="5:31" ht="24" customHeight="1">
      <c r="AE134" s="87">
        <v>-0.19098300562505344</v>
      </c>
    </row>
    <row r="135" spans="5:31" ht="24" customHeight="1">
      <c r="E135" s="79">
        <v>1</v>
      </c>
      <c r="F135" s="80">
        <v>1</v>
      </c>
      <c r="G135" s="80">
        <v>1</v>
      </c>
      <c r="H135" s="80">
        <v>1</v>
      </c>
      <c r="I135" s="81">
        <v>1</v>
      </c>
      <c r="K135" s="79">
        <v>1</v>
      </c>
      <c r="L135" s="80">
        <v>0.30901699437494745</v>
      </c>
      <c r="M135" s="80">
        <v>-0.80901699437494734</v>
      </c>
      <c r="N135" s="80">
        <v>-0.80901699437494745</v>
      </c>
      <c r="O135" s="81">
        <v>0.30901699437494723</v>
      </c>
      <c r="Q135" s="79">
        <v>1</v>
      </c>
      <c r="R135" s="80">
        <v>-0.80901699437494734</v>
      </c>
      <c r="S135" s="80">
        <v>0.30901699437494723</v>
      </c>
      <c r="T135" s="80">
        <v>0.30901699437494773</v>
      </c>
      <c r="U135" s="81">
        <v>-0.80901699437494767</v>
      </c>
      <c r="AE135" s="87">
        <v>1.1909830056250528</v>
      </c>
    </row>
    <row r="136" spans="5:31" ht="24" customHeight="1">
      <c r="E136" s="82">
        <v>0.30901699437494745</v>
      </c>
      <c r="F136">
        <v>0.30901699437494745</v>
      </c>
      <c r="G136">
        <v>0.30901699437494745</v>
      </c>
      <c r="H136">
        <v>0.30901699437494745</v>
      </c>
      <c r="I136" s="83">
        <v>0.30901699437494745</v>
      </c>
      <c r="K136" s="82">
        <v>0.30901699437494745</v>
      </c>
      <c r="L136">
        <v>-0.80901699437494734</v>
      </c>
      <c r="M136">
        <v>-0.80901699437494723</v>
      </c>
      <c r="N136">
        <v>0.30901699437494723</v>
      </c>
      <c r="O136" s="83">
        <v>1</v>
      </c>
      <c r="Q136" s="82">
        <v>0.30901699437494745</v>
      </c>
      <c r="R136">
        <v>-0.80901699437494723</v>
      </c>
      <c r="S136">
        <v>1</v>
      </c>
      <c r="T136">
        <v>-0.80901699437494723</v>
      </c>
      <c r="U136" s="83">
        <v>0.30901699437494701</v>
      </c>
      <c r="AE136" s="87">
        <v>2.3090169943749457</v>
      </c>
    </row>
    <row r="137" spans="5:31" ht="24" customHeight="1">
      <c r="E137" s="82">
        <v>-0.80901699437494734</v>
      </c>
      <c r="F137">
        <v>-0.80901699437494734</v>
      </c>
      <c r="G137">
        <v>-0.80901699437494734</v>
      </c>
      <c r="H137">
        <v>-0.80901699437494734</v>
      </c>
      <c r="I137" s="83">
        <v>-0.80901699437494734</v>
      </c>
      <c r="K137" s="82">
        <v>-0.80901699437494734</v>
      </c>
      <c r="L137">
        <v>-0.80901699437494723</v>
      </c>
      <c r="M137">
        <v>0.30901699437494723</v>
      </c>
      <c r="N137">
        <v>1</v>
      </c>
      <c r="O137" s="83">
        <v>0.30901699437494684</v>
      </c>
      <c r="Q137" s="82">
        <v>-0.80901699437494734</v>
      </c>
      <c r="R137">
        <v>0.30901699437494723</v>
      </c>
      <c r="S137">
        <v>0.30901699437494684</v>
      </c>
      <c r="T137">
        <v>-0.80901699437494767</v>
      </c>
      <c r="U137" s="83">
        <v>1</v>
      </c>
      <c r="AE137" s="87">
        <v>2.5729490168751572</v>
      </c>
    </row>
    <row r="138" spans="5:31" ht="24" customHeight="1">
      <c r="E138" s="82">
        <v>-0.80901699437494745</v>
      </c>
      <c r="F138">
        <v>-0.80901699437494745</v>
      </c>
      <c r="G138">
        <v>-0.80901699437494745</v>
      </c>
      <c r="H138">
        <v>-0.80901699437494745</v>
      </c>
      <c r="I138" s="83">
        <v>-0.80901699437494745</v>
      </c>
      <c r="K138" s="82">
        <v>-0.80901699437494745</v>
      </c>
      <c r="L138">
        <v>0.30901699437494723</v>
      </c>
      <c r="M138">
        <v>1</v>
      </c>
      <c r="N138">
        <v>0.30901699437494773</v>
      </c>
      <c r="O138" s="83">
        <v>-0.80901699437494723</v>
      </c>
      <c r="Q138" s="82">
        <v>-0.80901699437494745</v>
      </c>
      <c r="R138">
        <v>1</v>
      </c>
      <c r="S138">
        <v>-0.80901699437494723</v>
      </c>
      <c r="T138">
        <v>0.30901699437494534</v>
      </c>
      <c r="U138" s="83">
        <v>0.30901699437494623</v>
      </c>
      <c r="AE138" s="87">
        <v>2.3090169943749466</v>
      </c>
    </row>
    <row r="139" spans="5:31" ht="24" customHeight="1">
      <c r="E139" s="84">
        <v>0.30901699437494723</v>
      </c>
      <c r="F139" s="85">
        <v>0.30901699437494723</v>
      </c>
      <c r="G139" s="85">
        <v>0.30901699437494723</v>
      </c>
      <c r="H139" s="85">
        <v>0.30901699437494723</v>
      </c>
      <c r="I139" s="86">
        <v>0.30901699437494723</v>
      </c>
      <c r="K139" s="84">
        <v>0.30901699437494723</v>
      </c>
      <c r="L139" s="85">
        <v>1</v>
      </c>
      <c r="M139" s="85">
        <v>0.30901699437494684</v>
      </c>
      <c r="N139" s="85">
        <v>-0.80901699437494723</v>
      </c>
      <c r="O139" s="86">
        <v>-0.80901699437494767</v>
      </c>
      <c r="Q139" s="84">
        <v>0.30901699437494723</v>
      </c>
      <c r="R139" s="85">
        <v>0.30901699437494684</v>
      </c>
      <c r="S139" s="85">
        <v>-0.80901699437494767</v>
      </c>
      <c r="T139" s="85">
        <v>1</v>
      </c>
      <c r="U139" s="86">
        <v>-0.80901699437494812</v>
      </c>
      <c r="AE139" s="87">
        <v>1.1909830056250525</v>
      </c>
    </row>
    <row r="140" spans="5:31" ht="24" customHeight="1">
      <c r="AE140" s="87">
        <v>-0.19098300562505399</v>
      </c>
    </row>
    <row r="141" spans="5:31" ht="24" customHeight="1">
      <c r="E141" s="79">
        <v>1</v>
      </c>
      <c r="F141" s="80">
        <v>1</v>
      </c>
      <c r="G141" s="80">
        <v>1</v>
      </c>
      <c r="H141" s="80">
        <v>1</v>
      </c>
      <c r="I141" s="81">
        <v>1</v>
      </c>
      <c r="K141" s="79">
        <v>1</v>
      </c>
      <c r="L141" s="80">
        <v>0.30901699437494745</v>
      </c>
      <c r="M141" s="80">
        <v>-0.80901699437494734</v>
      </c>
      <c r="N141" s="80">
        <v>-0.80901699437494745</v>
      </c>
      <c r="O141" s="81">
        <v>0.30901699437494723</v>
      </c>
      <c r="Q141" s="79">
        <v>1</v>
      </c>
      <c r="R141" s="80">
        <v>-0.80901699437494734</v>
      </c>
      <c r="S141" s="80">
        <v>0.30901699437494723</v>
      </c>
      <c r="T141" s="80">
        <v>0.30901699437494773</v>
      </c>
      <c r="U141" s="81">
        <v>-0.80901699437494767</v>
      </c>
      <c r="AE141" s="87">
        <v>-0.88196601125010932</v>
      </c>
    </row>
    <row r="142" spans="5:31" ht="24" customHeight="1">
      <c r="E142" s="82">
        <v>-0.80901699437494734</v>
      </c>
      <c r="F142">
        <v>-0.80901699437494734</v>
      </c>
      <c r="G142">
        <v>-0.80901699437494734</v>
      </c>
      <c r="H142">
        <v>-0.80901699437494734</v>
      </c>
      <c r="I142" s="83">
        <v>-0.80901699437494734</v>
      </c>
      <c r="K142" s="82">
        <v>-0.80901699437494734</v>
      </c>
      <c r="L142">
        <v>-0.80901699437494723</v>
      </c>
      <c r="M142">
        <v>0.30901699437494723</v>
      </c>
      <c r="N142">
        <v>1</v>
      </c>
      <c r="O142" s="83">
        <v>0.30901699437494684</v>
      </c>
      <c r="Q142" s="82">
        <v>-0.80901699437494734</v>
      </c>
      <c r="R142">
        <v>0.30901699437494723</v>
      </c>
      <c r="S142">
        <v>0.30901699437494684</v>
      </c>
      <c r="T142">
        <v>-0.80901699437494767</v>
      </c>
      <c r="U142" s="83">
        <v>1</v>
      </c>
      <c r="AE142" s="87">
        <v>5.9270509831248415</v>
      </c>
    </row>
    <row r="143" spans="5:31" ht="24" customHeight="1">
      <c r="E143" s="82">
        <v>0.30901699437494723</v>
      </c>
      <c r="F143">
        <v>0.30901699437494723</v>
      </c>
      <c r="G143">
        <v>0.30901699437494723</v>
      </c>
      <c r="H143">
        <v>0.30901699437494723</v>
      </c>
      <c r="I143" s="83">
        <v>0.30901699437494723</v>
      </c>
      <c r="K143" s="82">
        <v>0.30901699437494723</v>
      </c>
      <c r="L143">
        <v>1</v>
      </c>
      <c r="M143">
        <v>0.30901699437494684</v>
      </c>
      <c r="N143">
        <v>-0.80901699437494723</v>
      </c>
      <c r="O143" s="83">
        <v>-0.80901699437494767</v>
      </c>
      <c r="Q143" s="82">
        <v>0.30901699437494723</v>
      </c>
      <c r="R143">
        <v>0.30901699437494684</v>
      </c>
      <c r="S143">
        <v>-0.80901699437494767</v>
      </c>
      <c r="T143">
        <v>1</v>
      </c>
      <c r="U143" s="83">
        <v>-0.80901699437494812</v>
      </c>
      <c r="AE143" s="87">
        <v>2.3090169943749479</v>
      </c>
    </row>
    <row r="144" spans="5:31" ht="24" customHeight="1">
      <c r="E144" s="82">
        <v>0.30901699437494773</v>
      </c>
      <c r="F144">
        <v>0.30901699437494773</v>
      </c>
      <c r="G144">
        <v>0.30901699437494773</v>
      </c>
      <c r="H144">
        <v>0.30901699437494773</v>
      </c>
      <c r="I144" s="83">
        <v>0.30901699437494773</v>
      </c>
      <c r="K144" s="82">
        <v>0.30901699437494773</v>
      </c>
      <c r="L144">
        <v>-0.80901699437494723</v>
      </c>
      <c r="M144">
        <v>-0.80901699437494767</v>
      </c>
      <c r="N144">
        <v>0.30901699437494534</v>
      </c>
      <c r="O144" s="83">
        <v>1</v>
      </c>
      <c r="Q144" s="82">
        <v>0.30901699437494773</v>
      </c>
      <c r="R144">
        <v>-0.80901699437494767</v>
      </c>
      <c r="S144">
        <v>1</v>
      </c>
      <c r="T144">
        <v>-0.80901699437494712</v>
      </c>
      <c r="U144" s="83">
        <v>0.30901699437494679</v>
      </c>
      <c r="AE144" s="87">
        <v>-3.1180339887498958</v>
      </c>
    </row>
    <row r="145" spans="5:33" ht="24" customHeight="1">
      <c r="E145" s="84">
        <v>-0.80901699437494767</v>
      </c>
      <c r="F145" s="85">
        <v>-0.80901699437494767</v>
      </c>
      <c r="G145" s="85">
        <v>-0.80901699437494767</v>
      </c>
      <c r="H145" s="85">
        <v>-0.80901699437494767</v>
      </c>
      <c r="I145" s="86">
        <v>-0.80901699437494767</v>
      </c>
      <c r="K145" s="84">
        <v>-0.80901699437494767</v>
      </c>
      <c r="L145" s="85">
        <v>0.30901699437494701</v>
      </c>
      <c r="M145" s="85">
        <v>1</v>
      </c>
      <c r="N145" s="85">
        <v>0.30901699437494623</v>
      </c>
      <c r="O145" s="86">
        <v>-0.80901699437494812</v>
      </c>
      <c r="Q145" s="84">
        <v>-0.80901699437494767</v>
      </c>
      <c r="R145" s="85">
        <v>1</v>
      </c>
      <c r="S145" s="85">
        <v>-0.80901699437494812</v>
      </c>
      <c r="T145" s="85">
        <v>0.30901699437494679</v>
      </c>
      <c r="U145" s="86">
        <v>0.30901699437494817</v>
      </c>
      <c r="AE145" s="87">
        <v>1.1909830056250543</v>
      </c>
    </row>
    <row r="146" spans="5:33" ht="24" customHeight="1">
      <c r="AE146" s="38">
        <v>-1.3090169943749483</v>
      </c>
    </row>
    <row r="148" spans="5:33" ht="24" customHeight="1">
      <c r="E148" s="35" cm="1">
        <f t="array" ref="E148:AC148">_xlfn.TOROW(E129:I133)</f>
        <v>1</v>
      </c>
      <c r="F148" s="88">
        <v>1</v>
      </c>
      <c r="G148" s="88">
        <v>1</v>
      </c>
      <c r="H148" s="88">
        <v>1</v>
      </c>
      <c r="I148" s="88">
        <v>1</v>
      </c>
      <c r="J148" s="88">
        <v>1</v>
      </c>
      <c r="K148" s="88">
        <v>1</v>
      </c>
      <c r="L148" s="88">
        <v>1</v>
      </c>
      <c r="M148" s="88">
        <v>1</v>
      </c>
      <c r="N148" s="88">
        <v>1</v>
      </c>
      <c r="O148" s="88">
        <v>1</v>
      </c>
      <c r="P148" s="88">
        <v>1</v>
      </c>
      <c r="Q148" s="88">
        <v>1</v>
      </c>
      <c r="R148" s="88">
        <v>1</v>
      </c>
      <c r="S148" s="88">
        <v>1</v>
      </c>
      <c r="T148" s="88">
        <v>1</v>
      </c>
      <c r="U148" s="88">
        <v>1</v>
      </c>
      <c r="V148" s="88">
        <v>1</v>
      </c>
      <c r="W148" s="88">
        <v>1</v>
      </c>
      <c r="X148" s="88">
        <v>1</v>
      </c>
      <c r="Y148" s="88">
        <v>1</v>
      </c>
      <c r="Z148" s="88">
        <v>1</v>
      </c>
      <c r="AA148" s="88">
        <v>1</v>
      </c>
      <c r="AB148" s="88">
        <v>1</v>
      </c>
      <c r="AC148" s="36">
        <v>1</v>
      </c>
      <c r="AE148" s="37" cm="1">
        <f t="array" ref="AE148:AE156">MMULT(E148:AC156,_xlfn.ANCHORARRAY(AE122))</f>
        <v>-8.4376949871511897E-15</v>
      </c>
    </row>
    <row r="149" spans="5:33" ht="24" customHeight="1">
      <c r="E149" s="35" cm="1">
        <f t="array" ref="E149:AC149">_xlfn.TOROW(K129:O133)</f>
        <v>1</v>
      </c>
      <c r="F149" s="88">
        <v>0.30901699437494745</v>
      </c>
      <c r="G149" s="88">
        <v>-0.80901699437494734</v>
      </c>
      <c r="H149" s="88">
        <v>-0.80901699437494745</v>
      </c>
      <c r="I149" s="88">
        <v>0.30901699437494723</v>
      </c>
      <c r="J149" s="88">
        <v>1</v>
      </c>
      <c r="K149" s="88">
        <v>0.30901699437494745</v>
      </c>
      <c r="L149" s="88">
        <v>-0.80901699437494734</v>
      </c>
      <c r="M149" s="88">
        <v>-0.80901699437494745</v>
      </c>
      <c r="N149" s="88">
        <v>0.30901699437494723</v>
      </c>
      <c r="O149" s="88">
        <v>1</v>
      </c>
      <c r="P149" s="88">
        <v>0.30901699437494745</v>
      </c>
      <c r="Q149" s="88">
        <v>-0.80901699437494734</v>
      </c>
      <c r="R149" s="88">
        <v>-0.80901699437494745</v>
      </c>
      <c r="S149" s="88">
        <v>0.30901699437494723</v>
      </c>
      <c r="T149" s="88">
        <v>1</v>
      </c>
      <c r="U149" s="88">
        <v>0.30901699437494745</v>
      </c>
      <c r="V149" s="88">
        <v>-0.80901699437494734</v>
      </c>
      <c r="W149" s="88">
        <v>-0.80901699437494745</v>
      </c>
      <c r="X149" s="88">
        <v>0.30901699437494723</v>
      </c>
      <c r="Y149" s="88">
        <v>1</v>
      </c>
      <c r="Z149" s="88">
        <v>0.30901699437494745</v>
      </c>
      <c r="AA149" s="88">
        <v>-0.80901699437494734</v>
      </c>
      <c r="AB149" s="88">
        <v>-0.80901699437494745</v>
      </c>
      <c r="AC149" s="36">
        <v>0.30901699437494723</v>
      </c>
      <c r="AE149" s="87">
        <v>25</v>
      </c>
    </row>
    <row r="150" spans="5:33" ht="24" customHeight="1">
      <c r="E150" s="35" cm="1">
        <f t="array" ref="E150:AC150">_xlfn.TOROW(Q129:U133)</f>
        <v>1</v>
      </c>
      <c r="F150" s="88">
        <v>-0.80901699437494734</v>
      </c>
      <c r="G150" s="88">
        <v>0.30901699437494723</v>
      </c>
      <c r="H150" s="88">
        <v>0.30901699437494773</v>
      </c>
      <c r="I150" s="88">
        <v>-0.80901699437494767</v>
      </c>
      <c r="J150" s="88">
        <v>1</v>
      </c>
      <c r="K150" s="88">
        <v>-0.80901699437494734</v>
      </c>
      <c r="L150" s="88">
        <v>0.30901699437494723</v>
      </c>
      <c r="M150" s="88">
        <v>0.30901699437494773</v>
      </c>
      <c r="N150" s="88">
        <v>-0.80901699437494767</v>
      </c>
      <c r="O150" s="88">
        <v>1</v>
      </c>
      <c r="P150" s="88">
        <v>-0.80901699437494734</v>
      </c>
      <c r="Q150" s="88">
        <v>0.30901699437494723</v>
      </c>
      <c r="R150" s="88">
        <v>0.30901699437494773</v>
      </c>
      <c r="S150" s="88">
        <v>-0.80901699437494767</v>
      </c>
      <c r="T150" s="88">
        <v>1</v>
      </c>
      <c r="U150" s="88">
        <v>-0.80901699437494734</v>
      </c>
      <c r="V150" s="88">
        <v>0.30901699437494723</v>
      </c>
      <c r="W150" s="88">
        <v>0.30901699437494773</v>
      </c>
      <c r="X150" s="88">
        <v>-0.80901699437494767</v>
      </c>
      <c r="Y150" s="88">
        <v>1</v>
      </c>
      <c r="Z150" s="88">
        <v>-0.80901699437494734</v>
      </c>
      <c r="AA150" s="88">
        <v>0.30901699437494723</v>
      </c>
      <c r="AB150" s="88">
        <v>0.30901699437494773</v>
      </c>
      <c r="AC150" s="36">
        <v>-0.80901699437494767</v>
      </c>
      <c r="AE150" s="87">
        <v>25.000000000000014</v>
      </c>
    </row>
    <row r="151" spans="5:33" ht="24" customHeight="1">
      <c r="E151" s="35" cm="1">
        <f t="array" ref="E151:AC151">_xlfn.TOROW(E135:I139)</f>
        <v>1</v>
      </c>
      <c r="F151" s="88">
        <v>1</v>
      </c>
      <c r="G151" s="88">
        <v>1</v>
      </c>
      <c r="H151" s="88">
        <v>1</v>
      </c>
      <c r="I151" s="88">
        <v>1</v>
      </c>
      <c r="J151" s="88">
        <v>0.30901699437494745</v>
      </c>
      <c r="K151" s="88">
        <v>0.30901699437494745</v>
      </c>
      <c r="L151" s="88">
        <v>0.30901699437494745</v>
      </c>
      <c r="M151" s="88">
        <v>0.30901699437494745</v>
      </c>
      <c r="N151" s="88">
        <v>0.30901699437494745</v>
      </c>
      <c r="O151" s="88">
        <v>-0.80901699437494734</v>
      </c>
      <c r="P151" s="88">
        <v>-0.80901699437494734</v>
      </c>
      <c r="Q151" s="88">
        <v>-0.80901699437494734</v>
      </c>
      <c r="R151" s="88">
        <v>-0.80901699437494734</v>
      </c>
      <c r="S151" s="88">
        <v>-0.80901699437494734</v>
      </c>
      <c r="T151" s="88">
        <v>-0.80901699437494745</v>
      </c>
      <c r="U151" s="88">
        <v>-0.80901699437494745</v>
      </c>
      <c r="V151" s="88">
        <v>-0.80901699437494745</v>
      </c>
      <c r="W151" s="88">
        <v>-0.80901699437494745</v>
      </c>
      <c r="X151" s="88">
        <v>-0.80901699437494745</v>
      </c>
      <c r="Y151" s="88">
        <v>0.30901699437494723</v>
      </c>
      <c r="Z151" s="88">
        <v>0.30901699437494723</v>
      </c>
      <c r="AA151" s="88">
        <v>0.30901699437494723</v>
      </c>
      <c r="AB151" s="88">
        <v>0.30901699437494723</v>
      </c>
      <c r="AC151" s="36">
        <v>0.30901699437494723</v>
      </c>
      <c r="AE151" s="87">
        <v>-24.999999999999996</v>
      </c>
    </row>
    <row r="152" spans="5:33" ht="24" customHeight="1">
      <c r="E152" s="35" cm="1">
        <f t="array" ref="E152:AC152">_xlfn.TOROW(K135:O139)</f>
        <v>1</v>
      </c>
      <c r="F152" s="88">
        <v>0.30901699437494745</v>
      </c>
      <c r="G152" s="88">
        <v>-0.80901699437494734</v>
      </c>
      <c r="H152" s="88">
        <v>-0.80901699437494745</v>
      </c>
      <c r="I152" s="88">
        <v>0.30901699437494723</v>
      </c>
      <c r="J152" s="88">
        <v>0.30901699437494745</v>
      </c>
      <c r="K152" s="88">
        <v>-0.80901699437494734</v>
      </c>
      <c r="L152" s="88">
        <v>-0.80901699437494723</v>
      </c>
      <c r="M152" s="88">
        <v>0.30901699437494723</v>
      </c>
      <c r="N152" s="88">
        <v>1</v>
      </c>
      <c r="O152" s="88">
        <v>-0.80901699437494734</v>
      </c>
      <c r="P152" s="88">
        <v>-0.80901699437494723</v>
      </c>
      <c r="Q152" s="88">
        <v>0.30901699437494723</v>
      </c>
      <c r="R152" s="88">
        <v>1</v>
      </c>
      <c r="S152" s="88">
        <v>0.30901699437494684</v>
      </c>
      <c r="T152" s="88">
        <v>-0.80901699437494745</v>
      </c>
      <c r="U152" s="88">
        <v>0.30901699437494723</v>
      </c>
      <c r="V152" s="88">
        <v>1</v>
      </c>
      <c r="W152" s="88">
        <v>0.30901699437494773</v>
      </c>
      <c r="X152" s="88">
        <v>-0.80901699437494723</v>
      </c>
      <c r="Y152" s="88">
        <v>0.30901699437494723</v>
      </c>
      <c r="Z152" s="88">
        <v>1</v>
      </c>
      <c r="AA152" s="88">
        <v>0.30901699437494684</v>
      </c>
      <c r="AB152" s="88">
        <v>-0.80901699437494723</v>
      </c>
      <c r="AC152" s="36">
        <v>-0.80901699437494767</v>
      </c>
      <c r="AE152" s="87">
        <v>12.500000000000002</v>
      </c>
    </row>
    <row r="153" spans="5:33" ht="24" customHeight="1">
      <c r="E153" s="35" cm="1">
        <f t="array" ref="E153:AC153">_xlfn.TOROW(Q135:U139)</f>
        <v>1</v>
      </c>
      <c r="F153" s="88">
        <v>-0.80901699437494734</v>
      </c>
      <c r="G153" s="88">
        <v>0.30901699437494723</v>
      </c>
      <c r="H153" s="88">
        <v>0.30901699437494773</v>
      </c>
      <c r="I153" s="88">
        <v>-0.80901699437494767</v>
      </c>
      <c r="J153" s="88">
        <v>0.30901699437494745</v>
      </c>
      <c r="K153" s="88">
        <v>-0.80901699437494723</v>
      </c>
      <c r="L153" s="88">
        <v>1</v>
      </c>
      <c r="M153" s="88">
        <v>-0.80901699437494723</v>
      </c>
      <c r="N153" s="88">
        <v>0.30901699437494701</v>
      </c>
      <c r="O153" s="88">
        <v>-0.80901699437494734</v>
      </c>
      <c r="P153" s="88">
        <v>0.30901699437494723</v>
      </c>
      <c r="Q153" s="88">
        <v>0.30901699437494684</v>
      </c>
      <c r="R153" s="88">
        <v>-0.80901699437494767</v>
      </c>
      <c r="S153" s="88">
        <v>1</v>
      </c>
      <c r="T153" s="88">
        <v>-0.80901699437494745</v>
      </c>
      <c r="U153" s="88">
        <v>1</v>
      </c>
      <c r="V153" s="88">
        <v>-0.80901699437494723</v>
      </c>
      <c r="W153" s="88">
        <v>0.30901699437494534</v>
      </c>
      <c r="X153" s="88">
        <v>0.30901699437494623</v>
      </c>
      <c r="Y153" s="88">
        <v>0.30901699437494723</v>
      </c>
      <c r="Z153" s="88">
        <v>0.30901699437494684</v>
      </c>
      <c r="AA153" s="88">
        <v>-0.80901699437494767</v>
      </c>
      <c r="AB153" s="88">
        <v>1</v>
      </c>
      <c r="AC153" s="36">
        <v>-0.80901699437494812</v>
      </c>
      <c r="AE153" s="87">
        <v>25.000000000000004</v>
      </c>
    </row>
    <row r="154" spans="5:33" ht="24" customHeight="1">
      <c r="E154" s="35" cm="1">
        <f t="array" ref="E154:AC154">_xlfn.TOROW(E141:I145)</f>
        <v>1</v>
      </c>
      <c r="F154" s="88">
        <v>1</v>
      </c>
      <c r="G154" s="88">
        <v>1</v>
      </c>
      <c r="H154" s="88">
        <v>1</v>
      </c>
      <c r="I154" s="88">
        <v>1</v>
      </c>
      <c r="J154" s="88">
        <v>-0.80901699437494734</v>
      </c>
      <c r="K154" s="88">
        <v>-0.80901699437494734</v>
      </c>
      <c r="L154" s="88">
        <v>-0.80901699437494734</v>
      </c>
      <c r="M154" s="88">
        <v>-0.80901699437494734</v>
      </c>
      <c r="N154" s="88">
        <v>-0.80901699437494734</v>
      </c>
      <c r="O154" s="88">
        <v>0.30901699437494723</v>
      </c>
      <c r="P154" s="88">
        <v>0.30901699437494723</v>
      </c>
      <c r="Q154" s="88">
        <v>0.30901699437494723</v>
      </c>
      <c r="R154" s="88">
        <v>0.30901699437494723</v>
      </c>
      <c r="S154" s="88">
        <v>0.30901699437494723</v>
      </c>
      <c r="T154" s="88">
        <v>0.30901699437494773</v>
      </c>
      <c r="U154" s="88">
        <v>0.30901699437494773</v>
      </c>
      <c r="V154" s="88">
        <v>0.30901699437494773</v>
      </c>
      <c r="W154" s="88">
        <v>0.30901699437494773</v>
      </c>
      <c r="X154" s="88">
        <v>0.30901699437494773</v>
      </c>
      <c r="Y154" s="88">
        <v>-0.80901699437494767</v>
      </c>
      <c r="Z154" s="88">
        <v>-0.80901699437494767</v>
      </c>
      <c r="AA154" s="88">
        <v>-0.80901699437494767</v>
      </c>
      <c r="AB154" s="88">
        <v>-0.80901699437494767</v>
      </c>
      <c r="AC154" s="36">
        <v>-0.80901699437494767</v>
      </c>
      <c r="AE154" s="87">
        <v>-25</v>
      </c>
    </row>
    <row r="155" spans="5:33" ht="24" customHeight="1">
      <c r="E155" s="35" cm="1">
        <f t="array" ref="E155:AC155">_xlfn.TOROW(K141:O145)</f>
        <v>1</v>
      </c>
      <c r="F155" s="88">
        <v>0.30901699437494745</v>
      </c>
      <c r="G155" s="88">
        <v>-0.80901699437494734</v>
      </c>
      <c r="H155" s="88">
        <v>-0.80901699437494745</v>
      </c>
      <c r="I155" s="88">
        <v>0.30901699437494723</v>
      </c>
      <c r="J155" s="88">
        <v>-0.80901699437494734</v>
      </c>
      <c r="K155" s="88">
        <v>-0.80901699437494723</v>
      </c>
      <c r="L155" s="88">
        <v>0.30901699437494723</v>
      </c>
      <c r="M155" s="88">
        <v>1</v>
      </c>
      <c r="N155" s="88">
        <v>0.30901699437494684</v>
      </c>
      <c r="O155" s="88">
        <v>0.30901699437494723</v>
      </c>
      <c r="P155" s="88">
        <v>1</v>
      </c>
      <c r="Q155" s="88">
        <v>0.30901699437494684</v>
      </c>
      <c r="R155" s="88">
        <v>-0.80901699437494723</v>
      </c>
      <c r="S155" s="88">
        <v>-0.80901699437494767</v>
      </c>
      <c r="T155" s="88">
        <v>0.30901699437494773</v>
      </c>
      <c r="U155" s="88">
        <v>-0.80901699437494723</v>
      </c>
      <c r="V155" s="88">
        <v>-0.80901699437494767</v>
      </c>
      <c r="W155" s="88">
        <v>0.30901699437494534</v>
      </c>
      <c r="X155" s="88">
        <v>1</v>
      </c>
      <c r="Y155" s="88">
        <v>-0.80901699437494767</v>
      </c>
      <c r="Z155" s="88">
        <v>0.30901699437494701</v>
      </c>
      <c r="AA155" s="88">
        <v>1</v>
      </c>
      <c r="AB155" s="88">
        <v>0.30901699437494623</v>
      </c>
      <c r="AC155" s="36">
        <v>-0.80901699437494812</v>
      </c>
      <c r="AE155" s="87">
        <v>-12.500000000000009</v>
      </c>
    </row>
    <row r="156" spans="5:33" ht="24" customHeight="1">
      <c r="E156" s="35" cm="1">
        <f t="array" ref="E156:AC156">_xlfn.TOROW(Q141:U145)</f>
        <v>1</v>
      </c>
      <c r="F156" s="88">
        <v>-0.80901699437494734</v>
      </c>
      <c r="G156" s="88">
        <v>0.30901699437494723</v>
      </c>
      <c r="H156" s="88">
        <v>0.30901699437494773</v>
      </c>
      <c r="I156" s="88">
        <v>-0.80901699437494767</v>
      </c>
      <c r="J156" s="88">
        <v>-0.80901699437494734</v>
      </c>
      <c r="K156" s="88">
        <v>0.30901699437494723</v>
      </c>
      <c r="L156" s="88">
        <v>0.30901699437494684</v>
      </c>
      <c r="M156" s="88">
        <v>-0.80901699437494767</v>
      </c>
      <c r="N156" s="88">
        <v>1</v>
      </c>
      <c r="O156" s="88">
        <v>0.30901699437494723</v>
      </c>
      <c r="P156" s="88">
        <v>0.30901699437494684</v>
      </c>
      <c r="Q156" s="88">
        <v>-0.80901699437494767</v>
      </c>
      <c r="R156" s="88">
        <v>1</v>
      </c>
      <c r="S156" s="88">
        <v>-0.80901699437494812</v>
      </c>
      <c r="T156" s="88">
        <v>0.30901699437494773</v>
      </c>
      <c r="U156" s="88">
        <v>-0.80901699437494767</v>
      </c>
      <c r="V156" s="88">
        <v>1</v>
      </c>
      <c r="W156" s="88">
        <v>-0.80901699437494712</v>
      </c>
      <c r="X156" s="88">
        <v>0.30901699437494679</v>
      </c>
      <c r="Y156" s="88">
        <v>-0.80901699437494767</v>
      </c>
      <c r="Z156" s="88">
        <v>1</v>
      </c>
      <c r="AA156" s="88">
        <v>-0.80901699437494812</v>
      </c>
      <c r="AB156" s="88">
        <v>0.30901699437494679</v>
      </c>
      <c r="AC156" s="36">
        <v>0.30901699437494817</v>
      </c>
      <c r="AE156" s="38">
        <v>12.500000000000007</v>
      </c>
    </row>
    <row r="159" spans="5:33" ht="24" customHeight="1">
      <c r="AE159" s="79" cm="1">
        <f t="array" ref="AE159:AG161">_xlfn.WRAPROWS(_xlfn.ANCHORARRAY(AE148),3)</f>
        <v>-8.4376949871511897E-15</v>
      </c>
      <c r="AF159" s="80">
        <v>25</v>
      </c>
      <c r="AG159" s="81">
        <v>25.000000000000014</v>
      </c>
    </row>
    <row r="160" spans="5:33" ht="24" customHeight="1">
      <c r="AE160" s="82">
        <v>-24.999999999999996</v>
      </c>
      <c r="AF160">
        <v>12.500000000000002</v>
      </c>
      <c r="AG160" s="83">
        <v>25.000000000000004</v>
      </c>
    </row>
    <row r="161" spans="28:33" ht="24" customHeight="1">
      <c r="AE161" s="84">
        <v>-25</v>
      </c>
      <c r="AF161" s="85">
        <v>-12.500000000000009</v>
      </c>
      <c r="AG161" s="86">
        <v>12.500000000000007</v>
      </c>
    </row>
    <row r="162" spans="28:33" ht="24" customHeight="1">
      <c r="AC162" t="s">
        <v>77</v>
      </c>
    </row>
    <row r="163" spans="28:33" ht="24" customHeight="1">
      <c r="AE163" t="s">
        <v>21</v>
      </c>
    </row>
    <row r="164" spans="28:33" ht="24" customHeight="1">
      <c r="AB164" t="s">
        <v>78</v>
      </c>
      <c r="AD164" t="s">
        <v>22</v>
      </c>
      <c r="AE164" s="79" cm="1">
        <f t="array" ref="AE164:AG166">_xlfn.ANCHORARRAY(AE159)/25*2</f>
        <v>-6.7501559897209518E-16</v>
      </c>
      <c r="AF164" s="80">
        <v>2</v>
      </c>
      <c r="AG164" s="81">
        <v>2.0000000000000013</v>
      </c>
    </row>
    <row r="165" spans="28:33" ht="24" customHeight="1">
      <c r="AE165" s="82">
        <v>-1.9999999999999998</v>
      </c>
      <c r="AF165">
        <v>1.0000000000000002</v>
      </c>
      <c r="AG165" s="83">
        <v>2.0000000000000004</v>
      </c>
    </row>
    <row r="166" spans="28:33" ht="24" customHeight="1">
      <c r="AE166" s="84">
        <v>-2</v>
      </c>
      <c r="AF166" s="85">
        <v>-1.0000000000000007</v>
      </c>
      <c r="AG166" s="86">
        <v>1.0000000000000007</v>
      </c>
    </row>
    <row r="169" spans="28:33" ht="24" customHeight="1">
      <c r="AE169" s="37" cm="1">
        <f t="array" ref="AE169:AE177">_xlfn.TOCOL(_xlfn.ANCHORARRAY(AE164))</f>
        <v>-6.7501559897209518E-16</v>
      </c>
    </row>
    <row r="170" spans="28:33" ht="24" customHeight="1">
      <c r="AE170" s="87">
        <v>2</v>
      </c>
    </row>
    <row r="171" spans="28:33" ht="24" customHeight="1">
      <c r="AE171" s="87">
        <v>2.0000000000000013</v>
      </c>
    </row>
    <row r="172" spans="28:33" ht="24" customHeight="1">
      <c r="AE172" s="87">
        <v>-1.9999999999999998</v>
      </c>
    </row>
    <row r="173" spans="28:33" ht="24" customHeight="1">
      <c r="AE173" s="87">
        <v>1.0000000000000002</v>
      </c>
    </row>
    <row r="174" spans="28:33" ht="24" customHeight="1">
      <c r="AE174" s="87">
        <v>2.0000000000000004</v>
      </c>
    </row>
    <row r="175" spans="28:33" ht="24" customHeight="1">
      <c r="AE175" s="87">
        <v>-2</v>
      </c>
    </row>
    <row r="176" spans="28:33" ht="24" customHeight="1">
      <c r="AE176" s="87">
        <v>-1.0000000000000007</v>
      </c>
    </row>
    <row r="177" spans="21:31" ht="24" customHeight="1">
      <c r="AE177" s="38">
        <v>1.0000000000000007</v>
      </c>
    </row>
    <row r="179" spans="21:31" ht="24" customHeight="1">
      <c r="U179" s="37" cm="1">
        <f t="array" ref="U179:AC203">TRANSPOSE(E148:AC156)</f>
        <v>1</v>
      </c>
      <c r="V179" s="37">
        <v>1</v>
      </c>
      <c r="W179" s="37">
        <v>1</v>
      </c>
      <c r="X179" s="37">
        <v>1</v>
      </c>
      <c r="Y179" s="37">
        <v>1</v>
      </c>
      <c r="Z179" s="37">
        <v>1</v>
      </c>
      <c r="AA179" s="37">
        <v>1</v>
      </c>
      <c r="AB179" s="37">
        <v>1</v>
      </c>
      <c r="AC179" s="37">
        <v>1</v>
      </c>
      <c r="AE179" s="37" cm="1">
        <f t="array" ref="AE179:AE203">MMULT(_xlfn.ANCHORARRAY(U179),_xlfn.ANCHORARRAY(AE169))</f>
        <v>3.0000000000000018</v>
      </c>
    </row>
    <row r="180" spans="21:31" ht="24" customHeight="1">
      <c r="U180" s="87">
        <v>1</v>
      </c>
      <c r="V180" s="87">
        <v>0.30901699437494745</v>
      </c>
      <c r="W180" s="87">
        <v>-0.80901699437494734</v>
      </c>
      <c r="X180" s="87">
        <v>1</v>
      </c>
      <c r="Y180" s="87">
        <v>0.30901699437494745</v>
      </c>
      <c r="Z180" s="87">
        <v>-0.80901699437494734</v>
      </c>
      <c r="AA180" s="87">
        <v>1</v>
      </c>
      <c r="AB180" s="87">
        <v>0.30901699437494745</v>
      </c>
      <c r="AC180" s="87">
        <v>-0.80901699437494734</v>
      </c>
      <c r="AE180" s="87">
        <v>-7.427050983124845</v>
      </c>
    </row>
    <row r="181" spans="21:31" ht="24" customHeight="1">
      <c r="U181" s="87">
        <v>1</v>
      </c>
      <c r="V181" s="87">
        <v>-0.80901699437494734</v>
      </c>
      <c r="W181" s="87">
        <v>0.30901699437494723</v>
      </c>
      <c r="X181" s="87">
        <v>1</v>
      </c>
      <c r="Y181" s="87">
        <v>-0.80901699437494734</v>
      </c>
      <c r="Z181" s="87">
        <v>0.30901699437494723</v>
      </c>
      <c r="AA181" s="87">
        <v>1</v>
      </c>
      <c r="AB181" s="87">
        <v>-0.80901699437494734</v>
      </c>
      <c r="AC181" s="87">
        <v>0.30901699437494723</v>
      </c>
      <c r="AE181" s="87">
        <v>-4.0729490168751576</v>
      </c>
    </row>
    <row r="182" spans="21:31" ht="24" customHeight="1">
      <c r="U182" s="87">
        <v>1</v>
      </c>
      <c r="V182" s="87">
        <v>-0.80901699437494745</v>
      </c>
      <c r="W182" s="87">
        <v>0.30901699437494773</v>
      </c>
      <c r="X182" s="87">
        <v>1</v>
      </c>
      <c r="Y182" s="87">
        <v>-0.80901699437494745</v>
      </c>
      <c r="Z182" s="87">
        <v>0.30901699437494773</v>
      </c>
      <c r="AA182" s="87">
        <v>1</v>
      </c>
      <c r="AB182" s="87">
        <v>-0.80901699437494745</v>
      </c>
      <c r="AC182" s="87">
        <v>0.30901699437494773</v>
      </c>
      <c r="AE182" s="87">
        <v>-4.072949016875155</v>
      </c>
    </row>
    <row r="183" spans="21:31" ht="24" customHeight="1">
      <c r="U183" s="87">
        <v>1</v>
      </c>
      <c r="V183" s="87">
        <v>0.30901699437494723</v>
      </c>
      <c r="W183" s="87">
        <v>-0.80901699437494767</v>
      </c>
      <c r="X183" s="87">
        <v>1</v>
      </c>
      <c r="Y183" s="87">
        <v>0.30901699437494723</v>
      </c>
      <c r="Z183" s="87">
        <v>-0.80901699437494767</v>
      </c>
      <c r="AA183" s="87">
        <v>1</v>
      </c>
      <c r="AB183" s="87">
        <v>0.30901699437494723</v>
      </c>
      <c r="AC183" s="87">
        <v>-0.80901699437494767</v>
      </c>
      <c r="AE183" s="87">
        <v>-7.4270509831248468</v>
      </c>
    </row>
    <row r="184" spans="21:31" ht="24" customHeight="1">
      <c r="U184" s="87">
        <v>1</v>
      </c>
      <c r="V184" s="87">
        <v>1</v>
      </c>
      <c r="W184" s="87">
        <v>1</v>
      </c>
      <c r="X184" s="87">
        <v>0.30901699437494745</v>
      </c>
      <c r="Y184" s="87">
        <v>0.30901699437494745</v>
      </c>
      <c r="Z184" s="87">
        <v>0.30901699437494745</v>
      </c>
      <c r="AA184" s="87">
        <v>-0.80901699437494734</v>
      </c>
      <c r="AB184" s="87">
        <v>-0.80901699437494734</v>
      </c>
      <c r="AC184" s="87">
        <v>-0.80901699437494734</v>
      </c>
      <c r="AE184" s="87">
        <v>5.9270509831248432</v>
      </c>
    </row>
    <row r="185" spans="21:31" ht="24" customHeight="1">
      <c r="U185" s="87">
        <v>1</v>
      </c>
      <c r="V185" s="87">
        <v>0.30901699437494745</v>
      </c>
      <c r="W185" s="87">
        <v>-0.80901699437494734</v>
      </c>
      <c r="X185" s="87">
        <v>0.30901699437494745</v>
      </c>
      <c r="Y185" s="87">
        <v>-0.80901699437494734</v>
      </c>
      <c r="Z185" s="87">
        <v>-0.80901699437494723</v>
      </c>
      <c r="AA185" s="87">
        <v>-0.80901699437494734</v>
      </c>
      <c r="AB185" s="87">
        <v>-0.80901699437494723</v>
      </c>
      <c r="AC185" s="87">
        <v>0.30901699437494723</v>
      </c>
      <c r="AE185" s="87">
        <v>-1.3090169943749479</v>
      </c>
    </row>
    <row r="186" spans="21:31" ht="24" customHeight="1">
      <c r="U186" s="87">
        <v>1</v>
      </c>
      <c r="V186" s="87">
        <v>-0.80901699437494734</v>
      </c>
      <c r="W186" s="87">
        <v>0.30901699437494723</v>
      </c>
      <c r="X186" s="87">
        <v>0.30901699437494745</v>
      </c>
      <c r="Y186" s="87">
        <v>-0.80901699437494723</v>
      </c>
      <c r="Z186" s="87">
        <v>1</v>
      </c>
      <c r="AA186" s="87">
        <v>-0.80901699437494734</v>
      </c>
      <c r="AB186" s="87">
        <v>0.30901699437494723</v>
      </c>
      <c r="AC186" s="87">
        <v>0.30901699437494684</v>
      </c>
      <c r="AE186" s="87">
        <v>1.1909830056250519</v>
      </c>
    </row>
    <row r="187" spans="21:31" ht="24" customHeight="1">
      <c r="U187" s="87">
        <v>1</v>
      </c>
      <c r="V187" s="87">
        <v>-0.80901699437494745</v>
      </c>
      <c r="W187" s="87">
        <v>0.30901699437494773</v>
      </c>
      <c r="X187" s="87">
        <v>0.30901699437494745</v>
      </c>
      <c r="Y187" s="87">
        <v>0.30901699437494723</v>
      </c>
      <c r="Z187" s="87">
        <v>-0.80901699437494723</v>
      </c>
      <c r="AA187" s="87">
        <v>-0.80901699437494734</v>
      </c>
      <c r="AB187" s="87">
        <v>1</v>
      </c>
      <c r="AC187" s="87">
        <v>-0.80901699437494767</v>
      </c>
      <c r="AE187" s="87">
        <v>-3.1180339887498967</v>
      </c>
    </row>
    <row r="188" spans="21:31" ht="24" customHeight="1">
      <c r="U188" s="87">
        <v>1</v>
      </c>
      <c r="V188" s="87">
        <v>0.30901699437494723</v>
      </c>
      <c r="W188" s="87">
        <v>-0.80901699437494767</v>
      </c>
      <c r="X188" s="87">
        <v>0.30901699437494745</v>
      </c>
      <c r="Y188" s="87">
        <v>1</v>
      </c>
      <c r="Z188" s="87">
        <v>0.30901699437494701</v>
      </c>
      <c r="AA188" s="87">
        <v>-0.80901699437494734</v>
      </c>
      <c r="AB188" s="87">
        <v>0.30901699437494684</v>
      </c>
      <c r="AC188" s="87">
        <v>1</v>
      </c>
      <c r="AE188" s="87">
        <v>2.3090169943749448</v>
      </c>
    </row>
    <row r="189" spans="21:31" ht="24" customHeight="1">
      <c r="U189" s="87">
        <v>1</v>
      </c>
      <c r="V189" s="87">
        <v>1</v>
      </c>
      <c r="W189" s="87">
        <v>1</v>
      </c>
      <c r="X189" s="87">
        <v>-0.80901699437494734</v>
      </c>
      <c r="Y189" s="87">
        <v>-0.80901699437494734</v>
      </c>
      <c r="Z189" s="87">
        <v>-0.80901699437494734</v>
      </c>
      <c r="AA189" s="87">
        <v>0.30901699437494723</v>
      </c>
      <c r="AB189" s="87">
        <v>0.30901699437494723</v>
      </c>
      <c r="AC189" s="87">
        <v>0.30901699437494723</v>
      </c>
      <c r="AE189" s="87">
        <v>2.5729490168751581</v>
      </c>
    </row>
    <row r="190" spans="21:31" ht="24" customHeight="1">
      <c r="U190" s="87">
        <v>1</v>
      </c>
      <c r="V190" s="87">
        <v>0.30901699437494745</v>
      </c>
      <c r="W190" s="87">
        <v>-0.80901699437494734</v>
      </c>
      <c r="X190" s="87">
        <v>-0.80901699437494734</v>
      </c>
      <c r="Y190" s="87">
        <v>-0.80901699437494723</v>
      </c>
      <c r="Z190" s="87">
        <v>0.30901699437494723</v>
      </c>
      <c r="AA190" s="87">
        <v>0.30901699437494723</v>
      </c>
      <c r="AB190" s="87">
        <v>1</v>
      </c>
      <c r="AC190" s="87">
        <v>0.30901699437494684</v>
      </c>
      <c r="AE190" s="87">
        <v>-0.88196601125010821</v>
      </c>
    </row>
    <row r="191" spans="21:31" ht="24" customHeight="1">
      <c r="U191" s="87">
        <v>1</v>
      </c>
      <c r="V191" s="87">
        <v>-0.80901699437494734</v>
      </c>
      <c r="W191" s="87">
        <v>0.30901699437494723</v>
      </c>
      <c r="X191" s="87">
        <v>-0.80901699437494734</v>
      </c>
      <c r="Y191" s="87">
        <v>0.30901699437494723</v>
      </c>
      <c r="Z191" s="87">
        <v>0.30901699437494684</v>
      </c>
      <c r="AA191" s="87">
        <v>0.30901699437494723</v>
      </c>
      <c r="AB191" s="87">
        <v>0.30901699437494684</v>
      </c>
      <c r="AC191" s="87">
        <v>-0.80901699437494767</v>
      </c>
      <c r="AE191" s="87">
        <v>-0.19098300562505466</v>
      </c>
    </row>
    <row r="192" spans="21:31" ht="24" customHeight="1">
      <c r="U192" s="87">
        <v>1</v>
      </c>
      <c r="V192" s="87">
        <v>-0.80901699437494745</v>
      </c>
      <c r="W192" s="87">
        <v>0.30901699437494773</v>
      </c>
      <c r="X192" s="87">
        <v>-0.80901699437494734</v>
      </c>
      <c r="Y192" s="87">
        <v>1</v>
      </c>
      <c r="Z192" s="87">
        <v>-0.80901699437494767</v>
      </c>
      <c r="AA192" s="87">
        <v>0.30901699437494723</v>
      </c>
      <c r="AB192" s="87">
        <v>-0.80901699437494723</v>
      </c>
      <c r="AC192" s="87">
        <v>1</v>
      </c>
      <c r="AE192" s="87">
        <v>1.190983005625053</v>
      </c>
    </row>
    <row r="193" spans="21:35" ht="24" customHeight="1">
      <c r="U193" s="87">
        <v>1</v>
      </c>
      <c r="V193" s="87">
        <v>0.30901699437494723</v>
      </c>
      <c r="W193" s="87">
        <v>-0.80901699437494767</v>
      </c>
      <c r="X193" s="87">
        <v>-0.80901699437494734</v>
      </c>
      <c r="Y193" s="87">
        <v>0.30901699437494684</v>
      </c>
      <c r="Z193" s="87">
        <v>1</v>
      </c>
      <c r="AA193" s="87">
        <v>0.30901699437494723</v>
      </c>
      <c r="AB193" s="87">
        <v>-0.80901699437494767</v>
      </c>
      <c r="AC193" s="87">
        <v>-0.80901699437494812</v>
      </c>
      <c r="AE193" s="87">
        <v>2.3090169943749443</v>
      </c>
    </row>
    <row r="194" spans="21:35" ht="24" customHeight="1">
      <c r="U194" s="87">
        <v>1</v>
      </c>
      <c r="V194" s="87">
        <v>1</v>
      </c>
      <c r="W194" s="87">
        <v>1</v>
      </c>
      <c r="X194" s="87">
        <v>-0.80901699437494745</v>
      </c>
      <c r="Y194" s="87">
        <v>-0.80901699437494745</v>
      </c>
      <c r="Z194" s="87">
        <v>-0.80901699437494745</v>
      </c>
      <c r="AA194" s="87">
        <v>0.30901699437494773</v>
      </c>
      <c r="AB194" s="87">
        <v>0.30901699437494773</v>
      </c>
      <c r="AC194" s="87">
        <v>0.30901699437494773</v>
      </c>
      <c r="AE194" s="87">
        <v>2.5729490168751576</v>
      </c>
    </row>
    <row r="195" spans="21:35" ht="24" customHeight="1">
      <c r="U195" s="87">
        <v>1</v>
      </c>
      <c r="V195" s="87">
        <v>0.30901699437494745</v>
      </c>
      <c r="W195" s="87">
        <v>-0.80901699437494734</v>
      </c>
      <c r="X195" s="87">
        <v>-0.80901699437494745</v>
      </c>
      <c r="Y195" s="87">
        <v>0.30901699437494723</v>
      </c>
      <c r="Z195" s="87">
        <v>1</v>
      </c>
      <c r="AA195" s="87">
        <v>0.30901699437494773</v>
      </c>
      <c r="AB195" s="87">
        <v>-0.80901699437494723</v>
      </c>
      <c r="AC195" s="87">
        <v>-0.80901699437494767</v>
      </c>
      <c r="AE195" s="87">
        <v>2.3090169943749448</v>
      </c>
    </row>
    <row r="196" spans="21:35" ht="24" customHeight="1">
      <c r="U196" s="87">
        <v>1</v>
      </c>
      <c r="V196" s="87">
        <v>-0.80901699437494734</v>
      </c>
      <c r="W196" s="87">
        <v>0.30901699437494723</v>
      </c>
      <c r="X196" s="87">
        <v>-0.80901699437494745</v>
      </c>
      <c r="Y196" s="87">
        <v>1</v>
      </c>
      <c r="Z196" s="87">
        <v>-0.80901699437494723</v>
      </c>
      <c r="AA196" s="87">
        <v>0.30901699437494773</v>
      </c>
      <c r="AB196" s="87">
        <v>-0.80901699437494767</v>
      </c>
      <c r="AC196" s="87">
        <v>1</v>
      </c>
      <c r="AE196" s="87">
        <v>1.190983005625053</v>
      </c>
    </row>
    <row r="197" spans="21:35" ht="24" customHeight="1">
      <c r="U197" s="87">
        <v>1</v>
      </c>
      <c r="V197" s="87">
        <v>-0.80901699437494745</v>
      </c>
      <c r="W197" s="87">
        <v>0.30901699437494773</v>
      </c>
      <c r="X197" s="87">
        <v>-0.80901699437494745</v>
      </c>
      <c r="Y197" s="87">
        <v>0.30901699437494773</v>
      </c>
      <c r="Z197" s="87">
        <v>0.30901699437494534</v>
      </c>
      <c r="AA197" s="87">
        <v>0.30901699437494773</v>
      </c>
      <c r="AB197" s="87">
        <v>0.30901699437494534</v>
      </c>
      <c r="AC197" s="87">
        <v>-0.80901699437494712</v>
      </c>
      <c r="AE197" s="87">
        <v>-0.19098300562505499</v>
      </c>
    </row>
    <row r="198" spans="21:35" ht="24" customHeight="1">
      <c r="U198" s="87">
        <v>1</v>
      </c>
      <c r="V198" s="87">
        <v>0.30901699437494723</v>
      </c>
      <c r="W198" s="87">
        <v>-0.80901699437494767</v>
      </c>
      <c r="X198" s="87">
        <v>-0.80901699437494745</v>
      </c>
      <c r="Y198" s="87">
        <v>-0.80901699437494723</v>
      </c>
      <c r="Z198" s="87">
        <v>0.30901699437494623</v>
      </c>
      <c r="AA198" s="87">
        <v>0.30901699437494773</v>
      </c>
      <c r="AB198" s="87">
        <v>1</v>
      </c>
      <c r="AC198" s="87">
        <v>0.30901699437494679</v>
      </c>
      <c r="AE198" s="87">
        <v>-0.88196601125011198</v>
      </c>
    </row>
    <row r="199" spans="21:35" ht="24" customHeight="1">
      <c r="U199" s="87">
        <v>1</v>
      </c>
      <c r="V199" s="87">
        <v>1</v>
      </c>
      <c r="W199" s="87">
        <v>1</v>
      </c>
      <c r="X199" s="87">
        <v>0.30901699437494723</v>
      </c>
      <c r="Y199" s="87">
        <v>0.30901699437494723</v>
      </c>
      <c r="Z199" s="87">
        <v>0.30901699437494723</v>
      </c>
      <c r="AA199" s="87">
        <v>-0.80901699437494767</v>
      </c>
      <c r="AB199" s="87">
        <v>-0.80901699437494767</v>
      </c>
      <c r="AC199" s="87">
        <v>-0.80901699437494767</v>
      </c>
      <c r="AE199" s="87">
        <v>5.9270509831248432</v>
      </c>
    </row>
    <row r="200" spans="21:35" ht="24" customHeight="1">
      <c r="U200" s="87">
        <v>1</v>
      </c>
      <c r="V200" s="87">
        <v>0.30901699437494745</v>
      </c>
      <c r="W200" s="87">
        <v>-0.80901699437494734</v>
      </c>
      <c r="X200" s="87">
        <v>0.30901699437494723</v>
      </c>
      <c r="Y200" s="87">
        <v>1</v>
      </c>
      <c r="Z200" s="87">
        <v>0.30901699437494684</v>
      </c>
      <c r="AA200" s="87">
        <v>-0.80901699437494767</v>
      </c>
      <c r="AB200" s="87">
        <v>0.30901699437494701</v>
      </c>
      <c r="AC200" s="87">
        <v>1</v>
      </c>
      <c r="AE200" s="87">
        <v>2.309016994374947</v>
      </c>
    </row>
    <row r="201" spans="21:35" ht="24" customHeight="1">
      <c r="U201" s="87">
        <v>1</v>
      </c>
      <c r="V201" s="87">
        <v>-0.80901699437494734</v>
      </c>
      <c r="W201" s="87">
        <v>0.30901699437494723</v>
      </c>
      <c r="X201" s="87">
        <v>0.30901699437494723</v>
      </c>
      <c r="Y201" s="87">
        <v>0.30901699437494684</v>
      </c>
      <c r="Z201" s="87">
        <v>-0.80901699437494767</v>
      </c>
      <c r="AA201" s="87">
        <v>-0.80901699437494767</v>
      </c>
      <c r="AB201" s="87">
        <v>1</v>
      </c>
      <c r="AC201" s="87">
        <v>-0.80901699437494812</v>
      </c>
      <c r="AE201" s="87">
        <v>-3.118033988749898</v>
      </c>
    </row>
    <row r="202" spans="21:35" ht="24" customHeight="1">
      <c r="U202" s="87">
        <v>1</v>
      </c>
      <c r="V202" s="87">
        <v>-0.80901699437494745</v>
      </c>
      <c r="W202" s="87">
        <v>0.30901699437494773</v>
      </c>
      <c r="X202" s="87">
        <v>0.30901699437494723</v>
      </c>
      <c r="Y202" s="87">
        <v>-0.80901699437494723</v>
      </c>
      <c r="Z202" s="87">
        <v>1</v>
      </c>
      <c r="AA202" s="87">
        <v>-0.80901699437494767</v>
      </c>
      <c r="AB202" s="87">
        <v>0.30901699437494623</v>
      </c>
      <c r="AC202" s="87">
        <v>0.30901699437494679</v>
      </c>
      <c r="AE202" s="87">
        <v>1.1909830056250548</v>
      </c>
    </row>
    <row r="203" spans="21:35" ht="24" customHeight="1">
      <c r="U203" s="38">
        <v>1</v>
      </c>
      <c r="V203" s="38">
        <v>0.30901699437494723</v>
      </c>
      <c r="W203" s="38">
        <v>-0.80901699437494767</v>
      </c>
      <c r="X203" s="38">
        <v>0.30901699437494723</v>
      </c>
      <c r="Y203" s="38">
        <v>-0.80901699437494767</v>
      </c>
      <c r="Z203" s="38">
        <v>-0.80901699437494812</v>
      </c>
      <c r="AA203" s="38">
        <v>-0.80901699437494767</v>
      </c>
      <c r="AB203" s="38">
        <v>-0.80901699437494812</v>
      </c>
      <c r="AC203" s="38">
        <v>0.30901699437494817</v>
      </c>
      <c r="AE203" s="38">
        <v>-1.3090169943749492</v>
      </c>
    </row>
    <row r="205" spans="21:35" ht="24" customHeight="1">
      <c r="AB205" t="s">
        <v>72</v>
      </c>
    </row>
    <row r="206" spans="21:35" ht="24" customHeight="1">
      <c r="AB206" t="s">
        <v>79</v>
      </c>
      <c r="AE206" s="79" cm="1">
        <f t="array" ref="AE206:AI210">_xlfn.WRAPROWS(_xlfn.ANCHORARRAY(AE179),5)</f>
        <v>3.0000000000000018</v>
      </c>
      <c r="AF206" s="80">
        <v>-7.427050983124845</v>
      </c>
      <c r="AG206" s="80">
        <v>-4.0729490168751576</v>
      </c>
      <c r="AH206" s="80">
        <v>-4.072949016875155</v>
      </c>
      <c r="AI206" s="81">
        <v>-7.4270509831248468</v>
      </c>
    </row>
    <row r="207" spans="21:35" ht="24" customHeight="1">
      <c r="AE207" s="82">
        <v>5.9270509831248432</v>
      </c>
      <c r="AF207">
        <v>-1.3090169943749479</v>
      </c>
      <c r="AG207">
        <v>1.1909830056250519</v>
      </c>
      <c r="AH207">
        <v>-3.1180339887498967</v>
      </c>
      <c r="AI207" s="83">
        <v>2.3090169943749448</v>
      </c>
    </row>
    <row r="208" spans="21:35" ht="24" customHeight="1">
      <c r="AE208" s="82">
        <v>2.5729490168751581</v>
      </c>
      <c r="AF208">
        <v>-0.88196601125010821</v>
      </c>
      <c r="AG208">
        <v>-0.19098300562505466</v>
      </c>
      <c r="AH208">
        <v>1.190983005625053</v>
      </c>
      <c r="AI208" s="83">
        <v>2.3090169943749443</v>
      </c>
    </row>
    <row r="209" spans="1:35" ht="24" customHeight="1">
      <c r="AE209" s="82">
        <v>2.5729490168751576</v>
      </c>
      <c r="AF209">
        <v>2.3090169943749448</v>
      </c>
      <c r="AG209">
        <v>1.190983005625053</v>
      </c>
      <c r="AH209">
        <v>-0.19098300562505499</v>
      </c>
      <c r="AI209" s="83">
        <v>-0.88196601125011198</v>
      </c>
    </row>
    <row r="210" spans="1:35" ht="24" customHeight="1">
      <c r="AE210" s="84">
        <v>5.9270509831248432</v>
      </c>
      <c r="AF210" s="85">
        <v>2.309016994374947</v>
      </c>
      <c r="AG210" s="85">
        <v>-3.118033988749898</v>
      </c>
      <c r="AH210" s="85">
        <v>1.1909830056250548</v>
      </c>
      <c r="AI210" s="86">
        <v>-1.3090169943749492</v>
      </c>
    </row>
    <row r="212" spans="1:35" s="51" customFormat="1" ht="24" customHeight="1"/>
    <row r="213" spans="1:35" ht="24" customHeight="1">
      <c r="C213" s="1">
        <v>1</v>
      </c>
      <c r="D213" s="1">
        <v>2</v>
      </c>
      <c r="E213" s="1">
        <v>3</v>
      </c>
      <c r="F213" s="1">
        <v>4</v>
      </c>
      <c r="G213" s="1">
        <v>5</v>
      </c>
      <c r="H213" s="1">
        <v>6</v>
      </c>
      <c r="I213" s="1">
        <v>7</v>
      </c>
      <c r="J213" s="1">
        <v>8</v>
      </c>
      <c r="K213" s="1">
        <v>9</v>
      </c>
      <c r="L213" s="1">
        <v>10</v>
      </c>
    </row>
    <row r="214" spans="1:35" ht="24" customHeight="1">
      <c r="A214" s="50" t="s">
        <v>1</v>
      </c>
      <c r="B214" s="50"/>
      <c r="C214" s="49">
        <f>AE126</f>
        <v>-7.4270509831248432</v>
      </c>
      <c r="D214" s="49">
        <f>F149</f>
        <v>0.30901699437494745</v>
      </c>
      <c r="E214" s="49">
        <f>AE152</f>
        <v>12.500000000000002</v>
      </c>
      <c r="F214" s="49">
        <f>AE159</f>
        <v>-8.4376949871511897E-15</v>
      </c>
      <c r="G214" s="49">
        <f>AG165</f>
        <v>2.0000000000000004</v>
      </c>
      <c r="H214" s="49">
        <f>AE171</f>
        <v>2.0000000000000013</v>
      </c>
      <c r="I214" s="49">
        <f>Y183</f>
        <v>0.30901699437494723</v>
      </c>
      <c r="J214" s="49">
        <f>AB199</f>
        <v>-0.80901699437494767</v>
      </c>
      <c r="K214" s="49">
        <f>AE187</f>
        <v>-3.1180339887498967</v>
      </c>
      <c r="L214" s="49">
        <f>AG208</f>
        <v>-0.19098300562505466</v>
      </c>
    </row>
    <row r="215" spans="1:35" ht="24" customHeight="1">
      <c r="A215" s="50" t="s">
        <v>2</v>
      </c>
      <c r="B215" s="50"/>
      <c r="C215" s="49">
        <v>-7.4270509831248432</v>
      </c>
      <c r="D215" s="49">
        <v>0.30901699437494745</v>
      </c>
      <c r="E215" s="49">
        <v>12.500000000000002</v>
      </c>
      <c r="F215" s="49">
        <v>-8.4376949871511897E-15</v>
      </c>
      <c r="G215" s="49">
        <v>2.0000000000000004</v>
      </c>
      <c r="H215" s="49">
        <v>2.0000000000000013</v>
      </c>
      <c r="I215" s="49">
        <v>0.30901699437494723</v>
      </c>
      <c r="J215" s="49">
        <v>-0.80901699437494767</v>
      </c>
      <c r="K215" s="49">
        <v>-3.1180339887498967</v>
      </c>
      <c r="L215" s="49">
        <v>-0.19098300562505466</v>
      </c>
    </row>
    <row r="216" spans="1:35" ht="24" customHeight="1">
      <c r="A216" s="50" t="s">
        <v>3</v>
      </c>
      <c r="C216" s="49" t="str">
        <f>IF(C214=C215,"Y","N")</f>
        <v>Y</v>
      </c>
      <c r="D216" s="49" t="str">
        <f t="shared" ref="D216" si="10">IF(D214=D215,"Y","N")</f>
        <v>Y</v>
      </c>
      <c r="E216" s="49" t="str">
        <f t="shared" ref="E216" si="11">IF(E214=E215,"Y","N")</f>
        <v>Y</v>
      </c>
      <c r="F216" s="49" t="str">
        <f t="shared" ref="F216" si="12">IF(F214=F215,"Y","N")</f>
        <v>Y</v>
      </c>
      <c r="G216" s="49" t="str">
        <f t="shared" ref="G216" si="13">IF(G214=G215,"Y","N")</f>
        <v>Y</v>
      </c>
      <c r="H216" s="49" t="str">
        <f t="shared" ref="H216" si="14">IF(H214=H215,"Y","N")</f>
        <v>Y</v>
      </c>
      <c r="I216" s="49" t="str">
        <f t="shared" ref="I216" si="15">IF(I214=I215,"Y","N")</f>
        <v>Y</v>
      </c>
      <c r="J216" s="49" t="str">
        <f t="shared" ref="J216" si="16">IF(J214=J215,"Y","N")</f>
        <v>Y</v>
      </c>
      <c r="K216" s="49" t="str">
        <f t="shared" ref="K216" si="17">IF(K214=K215,"Y","N")</f>
        <v>Y</v>
      </c>
      <c r="L216" s="49" t="str">
        <f t="shared" ref="L216" si="18">IF(L214=L215,"Y","N")</f>
        <v>Y</v>
      </c>
    </row>
    <row r="217" spans="1:35" ht="24" customHeight="1">
      <c r="A217" s="50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35" ht="24" customHeight="1">
      <c r="A218" s="50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35" ht="24" customHeight="1">
      <c r="A219" s="50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35" ht="24" customHeight="1">
      <c r="A220" s="50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35" ht="24" customHeight="1">
      <c r="A221" s="50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35" ht="24" customHeight="1">
      <c r="A222" s="50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35" ht="24" customHeight="1">
      <c r="A223" s="50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5" spans="1:42" s="142" customFormat="1" ht="32.1">
      <c r="A225" s="142" t="s">
        <v>80</v>
      </c>
    </row>
    <row r="227" spans="1:42" ht="24" customHeight="1">
      <c r="F227" t="s">
        <v>81</v>
      </c>
      <c r="AA227" t="s">
        <v>82</v>
      </c>
    </row>
    <row r="228" spans="1:42" ht="24" customHeight="1">
      <c r="F228" s="1"/>
      <c r="G228" s="1"/>
      <c r="H228" s="1"/>
      <c r="I228" s="1"/>
      <c r="J228" s="1"/>
      <c r="N228" s="1" t="s">
        <v>83</v>
      </c>
      <c r="O228" s="7">
        <v>1</v>
      </c>
      <c r="Q228" s="1" t="s">
        <v>84</v>
      </c>
      <c r="R228" s="7">
        <v>2</v>
      </c>
      <c r="S228" s="1"/>
      <c r="T228" s="1" t="s">
        <v>85</v>
      </c>
      <c r="U228" s="7">
        <v>1</v>
      </c>
      <c r="W228" s="1" t="s">
        <v>86</v>
      </c>
      <c r="X228" s="7">
        <v>0</v>
      </c>
    </row>
    <row r="229" spans="1:42" ht="24" customHeight="1">
      <c r="F229" s="1"/>
      <c r="G229" s="1"/>
      <c r="H229" s="1"/>
      <c r="I229" s="1"/>
      <c r="J229" s="1"/>
      <c r="N229" s="1"/>
      <c r="O229" s="8">
        <v>2</v>
      </c>
      <c r="Q229" s="1"/>
      <c r="R229" s="8">
        <v>0</v>
      </c>
      <c r="S229" s="1"/>
      <c r="T229" s="1"/>
      <c r="U229" s="8">
        <v>3</v>
      </c>
      <c r="W229" s="1"/>
      <c r="X229" s="8">
        <v>1</v>
      </c>
    </row>
    <row r="230" spans="1:42" ht="24" customHeight="1">
      <c r="F230" s="1"/>
      <c r="G230" s="1"/>
      <c r="H230" s="1"/>
      <c r="I230" s="1"/>
      <c r="J230" s="1"/>
      <c r="N230" s="1"/>
      <c r="O230" s="9">
        <v>1</v>
      </c>
      <c r="Q230" s="1"/>
      <c r="R230" s="9">
        <v>1</v>
      </c>
      <c r="S230" s="1"/>
      <c r="T230" s="1"/>
      <c r="U230" s="9">
        <v>-1</v>
      </c>
      <c r="W230" s="1"/>
      <c r="X230" s="9">
        <v>3</v>
      </c>
    </row>
    <row r="231" spans="1:42" ht="24" customHeight="1">
      <c r="F231" s="1"/>
      <c r="G231" s="1"/>
      <c r="H231" s="1"/>
      <c r="I231" s="1"/>
      <c r="J231" s="1"/>
      <c r="N231" s="52" t="s">
        <v>87</v>
      </c>
      <c r="O231" s="14">
        <v>0</v>
      </c>
      <c r="Q231" s="52" t="s">
        <v>88</v>
      </c>
      <c r="R231" s="14" cm="1">
        <f t="array" ref="R231:R234">_xlfn.ANCHORARRAY(O243)</f>
        <v>3</v>
      </c>
      <c r="T231" s="52" t="s">
        <v>89</v>
      </c>
      <c r="U231" s="14" cm="1">
        <f t="array" ref="U231:U234">_xlfn.ANCHORARRAY(R243)</f>
        <v>11</v>
      </c>
      <c r="W231" s="52" t="s">
        <v>90</v>
      </c>
      <c r="X231" s="14" cm="1">
        <f t="array" ref="X231:X234">_xlfn.ANCHORARRAY(U243)</f>
        <v>22</v>
      </c>
      <c r="AF231" s="52" t="s">
        <v>87</v>
      </c>
      <c r="AG231" s="14" cm="1">
        <f t="array" ref="AG231:AG233">_xlfn.ANCHORARRAY(X249)</f>
        <v>68</v>
      </c>
      <c r="AI231" s="52" t="s">
        <v>88</v>
      </c>
      <c r="AJ231" s="14" cm="1">
        <f t="array" ref="AJ231:AJ233">_xlfn.ANCHORARRAY(AG242)</f>
        <v>11</v>
      </c>
      <c r="AL231" s="52" t="s">
        <v>89</v>
      </c>
      <c r="AM231" s="14" cm="1">
        <f t="array" ref="AM231:AM233">_xlfn.ANCHORARRAY(AJ242)</f>
        <v>12</v>
      </c>
      <c r="AO231" s="52" t="s">
        <v>90</v>
      </c>
      <c r="AP231" s="14" cm="1">
        <f t="array" ref="AP231:AP233">_xlfn.ANCHORARRAY(AM242)</f>
        <v>13</v>
      </c>
    </row>
    <row r="232" spans="1:42" ht="24" customHeight="1">
      <c r="O232" s="24">
        <v>0</v>
      </c>
      <c r="R232" s="24">
        <v>0</v>
      </c>
      <c r="U232" s="24">
        <v>1</v>
      </c>
      <c r="X232" s="24">
        <v>0</v>
      </c>
      <c r="AG232" s="24">
        <v>58</v>
      </c>
      <c r="AJ232" s="24">
        <v>0</v>
      </c>
      <c r="AM232" s="24">
        <v>0</v>
      </c>
      <c r="AP232" s="24">
        <v>0</v>
      </c>
    </row>
    <row r="233" spans="1:42" ht="24" customHeight="1">
      <c r="O233" s="24">
        <v>0</v>
      </c>
      <c r="R233" s="24">
        <v>4</v>
      </c>
      <c r="U233" s="24">
        <v>9</v>
      </c>
      <c r="X233" s="24">
        <v>12</v>
      </c>
      <c r="AG233" s="15">
        <v>58</v>
      </c>
      <c r="AI233" s="1"/>
      <c r="AJ233" s="15">
        <v>11</v>
      </c>
      <c r="AL233" s="1"/>
      <c r="AM233" s="15">
        <v>1</v>
      </c>
      <c r="AO233" s="1"/>
      <c r="AP233" s="15">
        <v>12</v>
      </c>
    </row>
    <row r="234" spans="1:42" ht="24" customHeight="1">
      <c r="N234" s="1"/>
      <c r="O234" s="15">
        <v>0</v>
      </c>
      <c r="Q234" s="1"/>
      <c r="R234" s="15">
        <v>4</v>
      </c>
      <c r="T234" s="1"/>
      <c r="U234" s="15">
        <v>4</v>
      </c>
      <c r="W234" s="1"/>
      <c r="X234" s="15">
        <v>10</v>
      </c>
      <c r="AF234" s="1"/>
      <c r="AG234" s="1">
        <v>1</v>
      </c>
      <c r="AJ234" s="1">
        <v>1</v>
      </c>
      <c r="AM234" s="1">
        <v>1</v>
      </c>
      <c r="AP234" s="1">
        <v>1</v>
      </c>
    </row>
    <row r="235" spans="1:42" ht="24" customHeight="1">
      <c r="O235" s="1">
        <v>1</v>
      </c>
      <c r="R235" s="1">
        <v>1</v>
      </c>
      <c r="U235" s="1">
        <v>1</v>
      </c>
      <c r="X235" s="1">
        <v>1</v>
      </c>
    </row>
    <row r="237" spans="1:42" ht="24" customHeight="1">
      <c r="F237" s="1" t="s">
        <v>91</v>
      </c>
      <c r="G237" s="1"/>
      <c r="H237" s="1"/>
      <c r="I237" t="s">
        <v>92</v>
      </c>
      <c r="L237" s="1"/>
      <c r="M237" s="1" t="s">
        <v>63</v>
      </c>
      <c r="N237" s="1"/>
      <c r="O237" s="1"/>
      <c r="Q237" s="1"/>
      <c r="R237" s="1"/>
      <c r="T237" s="1"/>
      <c r="U237" s="1"/>
      <c r="W237" s="1"/>
      <c r="X237" s="1"/>
      <c r="AF237" s="1"/>
      <c r="AG237" s="1"/>
      <c r="AI237" s="1"/>
      <c r="AJ237" s="1"/>
      <c r="AL237" s="1"/>
      <c r="AM237" s="1"/>
      <c r="AO237" s="1"/>
      <c r="AP237" s="1"/>
    </row>
    <row r="238" spans="1:42" ht="24" customHeight="1">
      <c r="F238" s="16">
        <v>1</v>
      </c>
      <c r="G238" s="17">
        <v>0</v>
      </c>
      <c r="H238" s="17">
        <v>1</v>
      </c>
      <c r="I238" s="16">
        <v>1</v>
      </c>
      <c r="J238" s="17">
        <v>1</v>
      </c>
      <c r="K238" s="17">
        <v>1</v>
      </c>
      <c r="L238" s="18">
        <v>0</v>
      </c>
      <c r="M238" s="13">
        <v>1</v>
      </c>
      <c r="N238" s="1"/>
      <c r="O238" s="10" cm="1">
        <f t="array" ref="O238:O241">MMULT(F238:M241,O228:O235)</f>
        <v>3</v>
      </c>
      <c r="Q238" s="1"/>
      <c r="R238" s="10" cm="1">
        <f t="array" ref="R238:R241">MMULT(F238:M241,R228:R235)</f>
        <v>11</v>
      </c>
      <c r="T238" s="1"/>
      <c r="U238" s="10" cm="1">
        <f t="array" ref="U238:U241">MMULT(F238:M241,U228:U235)</f>
        <v>22</v>
      </c>
      <c r="W238" s="1"/>
      <c r="X238" s="10" cm="1">
        <f t="array" ref="X238:X241">MMULT(F238:M241,X228:X235)</f>
        <v>38</v>
      </c>
      <c r="AB238" s="16">
        <v>1</v>
      </c>
      <c r="AC238" s="17">
        <v>-1</v>
      </c>
      <c r="AD238" s="18">
        <v>0</v>
      </c>
      <c r="AE238" s="13">
        <v>1</v>
      </c>
      <c r="AF238" s="1"/>
      <c r="AG238" s="10" cm="1">
        <f t="array" ref="AG238:AG240">MMULT($AB238:$AE240,AG231:AG234)</f>
        <v>11</v>
      </c>
      <c r="AI238" s="1"/>
      <c r="AJ238" s="10" cm="1">
        <f t="array" ref="AJ238:AJ240">MMULT($AB238:$AE240,AJ231:AJ234)</f>
        <v>12</v>
      </c>
      <c r="AL238" s="1"/>
      <c r="AM238" s="10" cm="1">
        <f t="array" ref="AM238:AM240">MMULT($AB238:$AE240,AM231:AM234)</f>
        <v>13</v>
      </c>
      <c r="AO238" s="1"/>
      <c r="AP238" s="10" cm="1">
        <f t="array" ref="AP238:AP240">MMULT($AB238:$AE240,AP231:AP234)</f>
        <v>14</v>
      </c>
    </row>
    <row r="239" spans="1:42" ht="24" customHeight="1">
      <c r="F239" s="19">
        <v>0</v>
      </c>
      <c r="G239" s="2">
        <v>-1</v>
      </c>
      <c r="H239" s="2">
        <v>0</v>
      </c>
      <c r="I239" s="19">
        <v>0</v>
      </c>
      <c r="J239" s="2">
        <v>0</v>
      </c>
      <c r="K239" s="2">
        <v>0</v>
      </c>
      <c r="L239" s="20">
        <v>1</v>
      </c>
      <c r="M239" s="13">
        <v>-3</v>
      </c>
      <c r="N239" s="1"/>
      <c r="O239" s="11">
        <v>-5</v>
      </c>
      <c r="Q239" s="1"/>
      <c r="R239" s="11">
        <v>1</v>
      </c>
      <c r="T239" s="1"/>
      <c r="U239" s="11">
        <v>-2</v>
      </c>
      <c r="W239" s="1"/>
      <c r="X239" s="11">
        <v>6</v>
      </c>
      <c r="AB239" s="19">
        <v>0</v>
      </c>
      <c r="AC239" s="2">
        <v>1</v>
      </c>
      <c r="AD239" s="20">
        <v>-1</v>
      </c>
      <c r="AE239" s="13">
        <v>0</v>
      </c>
      <c r="AF239" s="1"/>
      <c r="AG239" s="11">
        <v>0</v>
      </c>
      <c r="AI239" s="1"/>
      <c r="AJ239" s="11">
        <v>-11</v>
      </c>
      <c r="AL239" s="1"/>
      <c r="AM239" s="11">
        <v>-1</v>
      </c>
      <c r="AO239" s="1"/>
      <c r="AP239" s="11">
        <v>-12</v>
      </c>
    </row>
    <row r="240" spans="1:42" ht="24" customHeight="1">
      <c r="F240" s="19">
        <v>1</v>
      </c>
      <c r="G240" s="2">
        <v>0</v>
      </c>
      <c r="H240" s="2">
        <v>1</v>
      </c>
      <c r="I240" s="19">
        <v>0</v>
      </c>
      <c r="J240" s="2">
        <v>1</v>
      </c>
      <c r="K240" s="2">
        <v>1</v>
      </c>
      <c r="L240" s="20">
        <v>0</v>
      </c>
      <c r="M240" s="13">
        <v>2</v>
      </c>
      <c r="N240" s="1"/>
      <c r="O240" s="11">
        <v>4</v>
      </c>
      <c r="Q240" s="1"/>
      <c r="R240" s="11">
        <v>9</v>
      </c>
      <c r="T240" s="1"/>
      <c r="U240" s="11">
        <v>12</v>
      </c>
      <c r="W240" s="1"/>
      <c r="X240" s="11">
        <v>17</v>
      </c>
      <c r="AB240" s="21">
        <v>1</v>
      </c>
      <c r="AC240" s="22">
        <v>0</v>
      </c>
      <c r="AD240" s="23">
        <v>-1</v>
      </c>
      <c r="AE240" s="13">
        <v>1</v>
      </c>
      <c r="AF240" s="1"/>
      <c r="AG240" s="12">
        <v>11</v>
      </c>
      <c r="AI240" s="1"/>
      <c r="AJ240" s="12">
        <v>1</v>
      </c>
      <c r="AL240" s="1"/>
      <c r="AM240" s="12">
        <v>12</v>
      </c>
      <c r="AO240" s="1"/>
      <c r="AP240" s="12">
        <v>2</v>
      </c>
    </row>
    <row r="241" spans="1:42" ht="24" customHeight="1">
      <c r="F241" s="21">
        <v>0</v>
      </c>
      <c r="G241" s="22">
        <v>2</v>
      </c>
      <c r="H241" s="22">
        <v>0</v>
      </c>
      <c r="I241" s="21">
        <v>0</v>
      </c>
      <c r="J241" s="22">
        <v>0</v>
      </c>
      <c r="K241" s="22">
        <v>0</v>
      </c>
      <c r="L241" s="23">
        <v>1</v>
      </c>
      <c r="M241" s="13">
        <v>0</v>
      </c>
      <c r="N241" s="1"/>
      <c r="O241" s="12">
        <v>4</v>
      </c>
      <c r="Q241" s="1"/>
      <c r="R241" s="12">
        <v>4</v>
      </c>
      <c r="T241" s="1"/>
      <c r="U241" s="12">
        <v>10</v>
      </c>
      <c r="W241" s="1"/>
      <c r="X241" s="12">
        <v>12</v>
      </c>
      <c r="AF241" s="1"/>
      <c r="AG241" s="1"/>
      <c r="AI241" s="1"/>
      <c r="AJ241" s="1"/>
      <c r="AL241" s="1"/>
      <c r="AM241" s="1"/>
      <c r="AO241" s="1"/>
      <c r="AP241" s="1"/>
    </row>
    <row r="242" spans="1:42" ht="24" customHeight="1">
      <c r="F242" s="1"/>
      <c r="G242" s="1"/>
      <c r="H242" s="1"/>
      <c r="I242" s="1"/>
      <c r="J242" s="1"/>
      <c r="N242" s="1"/>
      <c r="O242" s="1"/>
      <c r="Q242" s="1"/>
      <c r="R242" s="1"/>
      <c r="T242" s="1"/>
      <c r="U242" s="1"/>
      <c r="W242" s="1"/>
      <c r="X242" s="1"/>
      <c r="AG242" s="10" cm="1">
        <f t="array" ref="AG242:AG244">_xlfn.MAP(_xlfn.ANCHORARRAY(AG238),_xlfn.LAMBDA(_xlpm.x, MAX(_xlpm.x,0)))</f>
        <v>11</v>
      </c>
      <c r="AH242" s="52" t="s">
        <v>88</v>
      </c>
      <c r="AI242" s="1"/>
      <c r="AJ242" s="10" cm="1">
        <f t="array" ref="AJ242:AJ244">_xlfn.MAP(_xlfn.ANCHORARRAY(AJ238),_xlfn.LAMBDA(_xlpm.x, MAX(_xlpm.x,0)))</f>
        <v>12</v>
      </c>
      <c r="AK242" s="52" t="s">
        <v>89</v>
      </c>
      <c r="AL242" s="1"/>
      <c r="AM242" s="10" cm="1">
        <f t="array" ref="AM242:AM244">_xlfn.MAP(_xlfn.ANCHORARRAY(AM238),_xlfn.LAMBDA(_xlpm.x, MAX(_xlpm.x,0)))</f>
        <v>13</v>
      </c>
      <c r="AN242" s="52" t="s">
        <v>90</v>
      </c>
      <c r="AO242" s="1"/>
      <c r="AP242" s="10" cm="1">
        <f t="array" ref="AP242:AP244">_xlfn.MAP(_xlfn.ANCHORARRAY(AP238),_xlfn.LAMBDA(_xlpm.x, MAX(_xlpm.x,0)))</f>
        <v>14</v>
      </c>
    </row>
    <row r="243" spans="1:42" ht="24" customHeight="1">
      <c r="F243" s="1"/>
      <c r="G243" s="1"/>
      <c r="H243" s="1"/>
      <c r="I243" s="1"/>
      <c r="J243" s="3" t="s">
        <v>93</v>
      </c>
      <c r="O243" s="10" cm="1">
        <f t="array" ref="O243:O246">_xlfn.MAP(_xlfn.ANCHORARRAY(O238),_xlfn.LAMBDA(_xlpm.x, MAX(_xlpm.x,0)))</f>
        <v>3</v>
      </c>
      <c r="P243" s="52" t="s">
        <v>88</v>
      </c>
      <c r="Q243" s="1"/>
      <c r="R243" s="10" cm="1">
        <f t="array" ref="R243:R246">_xlfn.MAP(_xlfn.ANCHORARRAY(R238),_xlfn.LAMBDA(_xlpm.x, MAX(_xlpm.x,0)))</f>
        <v>11</v>
      </c>
      <c r="S243" s="52" t="s">
        <v>89</v>
      </c>
      <c r="T243" s="1"/>
      <c r="U243" s="10" cm="1">
        <f t="array" ref="U243:U246">_xlfn.MAP(_xlfn.ANCHORARRAY(U238),_xlfn.LAMBDA(_xlpm.x, MAX(_xlpm.x,0)))</f>
        <v>22</v>
      </c>
      <c r="V243" s="52" t="s">
        <v>90</v>
      </c>
      <c r="W243" s="1"/>
      <c r="X243" s="10" cm="1">
        <f t="array" ref="X243:X246">_xlfn.MAP(_xlfn.ANCHORARRAY(X238),_xlfn.LAMBDA(_xlpm.x, MAX(_xlpm.x,0)))</f>
        <v>38</v>
      </c>
      <c r="Y243" s="52"/>
      <c r="AF243" s="1"/>
      <c r="AG243" s="11">
        <v>0</v>
      </c>
      <c r="AI243" s="1"/>
      <c r="AJ243" s="11">
        <v>0</v>
      </c>
      <c r="AL243" s="1"/>
      <c r="AM243" s="11">
        <v>0</v>
      </c>
      <c r="AO243" s="1"/>
      <c r="AP243" s="11">
        <v>0</v>
      </c>
    </row>
    <row r="244" spans="1:42" ht="24" customHeight="1">
      <c r="F244" s="1"/>
      <c r="G244" s="1"/>
      <c r="H244" s="1"/>
      <c r="I244" s="1"/>
      <c r="J244" s="1"/>
      <c r="N244" s="1"/>
      <c r="O244" s="11">
        <v>0</v>
      </c>
      <c r="Q244" s="1"/>
      <c r="R244" s="11">
        <v>1</v>
      </c>
      <c r="T244" s="1"/>
      <c r="U244" s="11">
        <v>0</v>
      </c>
      <c r="W244" s="1"/>
      <c r="X244" s="11">
        <v>6</v>
      </c>
      <c r="AF244" s="1"/>
      <c r="AG244" s="12">
        <v>11</v>
      </c>
      <c r="AI244" s="1"/>
      <c r="AJ244" s="12">
        <v>1</v>
      </c>
      <c r="AL244" s="1"/>
      <c r="AM244" s="12">
        <v>12</v>
      </c>
      <c r="AO244" s="1"/>
      <c r="AP244" s="12">
        <v>2</v>
      </c>
    </row>
    <row r="245" spans="1:42" ht="24" customHeight="1">
      <c r="F245" s="1"/>
      <c r="G245" s="1"/>
      <c r="H245" s="1"/>
      <c r="I245" s="1"/>
      <c r="J245" s="1"/>
      <c r="N245" s="1"/>
      <c r="O245" s="11">
        <v>4</v>
      </c>
      <c r="Q245" s="1"/>
      <c r="R245" s="11">
        <v>9</v>
      </c>
      <c r="T245" s="1"/>
      <c r="U245" s="11">
        <v>12</v>
      </c>
      <c r="W245" s="1"/>
      <c r="X245" s="11">
        <v>17</v>
      </c>
      <c r="AA245" s="1"/>
      <c r="AB245" s="1"/>
      <c r="AF245" s="1"/>
      <c r="AG245" s="1">
        <v>1</v>
      </c>
      <c r="AI245" s="1"/>
      <c r="AJ245" s="1">
        <v>1</v>
      </c>
      <c r="AL245" s="1"/>
      <c r="AM245" s="1">
        <v>1</v>
      </c>
      <c r="AO245" s="1"/>
      <c r="AP245" s="1">
        <v>1</v>
      </c>
    </row>
    <row r="246" spans="1:42" ht="24" customHeight="1">
      <c r="F246" s="1"/>
      <c r="G246" s="1"/>
      <c r="H246" s="1"/>
      <c r="I246" s="1"/>
      <c r="J246" s="1"/>
      <c r="N246" s="1"/>
      <c r="O246" s="12">
        <v>4</v>
      </c>
      <c r="Q246" s="1"/>
      <c r="R246" s="12">
        <v>4</v>
      </c>
      <c r="T246" s="1"/>
      <c r="U246" s="12">
        <v>10</v>
      </c>
      <c r="W246" s="1"/>
      <c r="X246" s="12">
        <v>12</v>
      </c>
    </row>
    <row r="247" spans="1:42" ht="24" customHeight="1">
      <c r="F247" s="1"/>
      <c r="G247" s="1"/>
      <c r="H247" s="1"/>
      <c r="I247" s="1"/>
      <c r="J247" s="1"/>
      <c r="N247" s="1"/>
      <c r="O247" s="1"/>
      <c r="Q247" s="1"/>
      <c r="R247" s="1"/>
      <c r="T247" s="1"/>
      <c r="U247" s="1"/>
      <c r="W247" s="1"/>
      <c r="X247" s="1">
        <v>1</v>
      </c>
      <c r="AB247" s="2">
        <v>1</v>
      </c>
      <c r="AC247" s="2">
        <v>0</v>
      </c>
      <c r="AD247" s="2">
        <v>0</v>
      </c>
      <c r="AE247" s="13">
        <v>1</v>
      </c>
      <c r="AG247" s="10" cm="1">
        <f t="array" ref="AG247:AG248">MMULT($AB247:$AE248,AG242:AG245)</f>
        <v>12</v>
      </c>
      <c r="AH247" s="1"/>
      <c r="AI247" s="1"/>
      <c r="AJ247" s="10" cm="1">
        <f t="array" ref="AJ247:AJ248">MMULT($AB247:$AE248,AJ242:AJ245)</f>
        <v>13</v>
      </c>
      <c r="AK247" s="1"/>
      <c r="AL247" s="1"/>
      <c r="AM247" s="10" cm="1">
        <f t="array" ref="AM247:AM248">MMULT($AB247:$AE248,AM242:AM245)</f>
        <v>14</v>
      </c>
      <c r="AN247" s="1"/>
      <c r="AO247" s="1"/>
      <c r="AP247" s="10" cm="1">
        <f t="array" ref="AP247:AP248">MMULT($AB247:$AE248,AP242:AP245)</f>
        <v>15</v>
      </c>
    </row>
    <row r="248" spans="1:42" ht="24" customHeight="1">
      <c r="AB248" s="2">
        <v>0</v>
      </c>
      <c r="AC248" s="2">
        <v>1</v>
      </c>
      <c r="AD248" s="2">
        <v>-1</v>
      </c>
      <c r="AE248" s="13">
        <v>-3</v>
      </c>
      <c r="AG248" s="12">
        <v>-14</v>
      </c>
      <c r="AH248" s="1"/>
      <c r="AI248" s="1"/>
      <c r="AJ248" s="12">
        <v>-4</v>
      </c>
      <c r="AK248" s="1"/>
      <c r="AL248" s="1"/>
      <c r="AM248" s="12">
        <v>-15</v>
      </c>
      <c r="AN248" s="1"/>
      <c r="AO248" s="1"/>
      <c r="AP248" s="12">
        <v>-5</v>
      </c>
    </row>
    <row r="249" spans="1:42" ht="24" customHeight="1">
      <c r="R249" s="2">
        <v>1</v>
      </c>
      <c r="S249" s="2">
        <v>0</v>
      </c>
      <c r="T249" s="2">
        <v>1</v>
      </c>
      <c r="U249" s="2">
        <v>1</v>
      </c>
      <c r="V249" s="13">
        <v>1</v>
      </c>
      <c r="X249" s="10" cm="1">
        <f t="array" ref="X249:X251">MMULT(R249:V251,X243:X247)</f>
        <v>68</v>
      </c>
      <c r="Y249" s="52" t="s">
        <v>94</v>
      </c>
    </row>
    <row r="250" spans="1:42" ht="24" customHeight="1">
      <c r="R250" s="2">
        <v>1</v>
      </c>
      <c r="S250" s="2">
        <v>1</v>
      </c>
      <c r="T250" s="2">
        <v>1</v>
      </c>
      <c r="U250" s="2">
        <v>0</v>
      </c>
      <c r="V250" s="13">
        <v>-3</v>
      </c>
      <c r="X250" s="11">
        <v>58</v>
      </c>
      <c r="AG250" s="27" cm="1">
        <f t="array" ref="AG250:AG251">_xlfn.MAP(_xlfn.ANCHORARRAY(AG247),_xlfn.LAMBDA(_xlpm.x, MAX(_xlpm.x,0)))</f>
        <v>12</v>
      </c>
      <c r="AJ250" s="27" cm="1">
        <f t="array" ref="AJ250:AJ251">_xlfn.MAP(_xlfn.ANCHORARRAY(AJ247),_xlfn.LAMBDA(_xlpm.x, MAX(_xlpm.x,0)))</f>
        <v>13</v>
      </c>
      <c r="AM250" s="27" cm="1">
        <f t="array" ref="AM250:AM251">_xlfn.MAP(_xlfn.ANCHORARRAY(AM247),_xlfn.LAMBDA(_xlpm.x, MAX(_xlpm.x,0)))</f>
        <v>14</v>
      </c>
      <c r="AP250" s="27" cm="1">
        <f t="array" ref="AP250:AP251">_xlfn.MAP(_xlfn.ANCHORARRAY(AP247),_xlfn.LAMBDA(_xlpm.x, MAX(_xlpm.x,0)))</f>
        <v>15</v>
      </c>
    </row>
    <row r="251" spans="1:42" ht="24" customHeight="1">
      <c r="R251" s="2">
        <v>1</v>
      </c>
      <c r="S251" s="2">
        <v>1</v>
      </c>
      <c r="T251" s="2">
        <v>1</v>
      </c>
      <c r="U251" s="2">
        <v>0</v>
      </c>
      <c r="V251" s="13">
        <v>-3</v>
      </c>
      <c r="X251" s="12">
        <v>58</v>
      </c>
      <c r="AF251" s="1" t="s">
        <v>95</v>
      </c>
      <c r="AG251" s="28">
        <v>0</v>
      </c>
      <c r="AI251" s="1" t="s">
        <v>96</v>
      </c>
      <c r="AJ251" s="28">
        <v>0</v>
      </c>
      <c r="AL251" s="25" t="s">
        <v>97</v>
      </c>
      <c r="AM251" s="28">
        <v>0</v>
      </c>
      <c r="AO251" s="1" t="s">
        <v>98</v>
      </c>
      <c r="AP251" s="28">
        <v>0</v>
      </c>
    </row>
    <row r="253" spans="1:42" s="51" customFormat="1" ht="24" customHeight="1"/>
    <row r="254" spans="1:42" ht="24" customHeight="1">
      <c r="C254" s="1">
        <v>1</v>
      </c>
      <c r="D254" s="1">
        <v>2</v>
      </c>
      <c r="E254" s="1">
        <v>3</v>
      </c>
      <c r="F254" s="1">
        <v>4</v>
      </c>
      <c r="G254" s="1">
        <v>5</v>
      </c>
      <c r="H254" s="1">
        <v>6</v>
      </c>
      <c r="I254" s="1">
        <v>7</v>
      </c>
      <c r="J254" s="1">
        <v>8</v>
      </c>
      <c r="K254" s="1">
        <v>9</v>
      </c>
      <c r="L254" s="1">
        <v>10</v>
      </c>
    </row>
    <row r="255" spans="1:42" ht="24" customHeight="1">
      <c r="A255" s="50" t="s">
        <v>1</v>
      </c>
      <c r="B255" s="50"/>
      <c r="C255" s="49">
        <f>X243</f>
        <v>38</v>
      </c>
      <c r="D255" s="49">
        <f>X250</f>
        <v>58</v>
      </c>
      <c r="E255" s="49">
        <f>AG232</f>
        <v>58</v>
      </c>
      <c r="F255" s="49">
        <f>AG239</f>
        <v>0</v>
      </c>
      <c r="G255" s="49">
        <f>AG247</f>
        <v>12</v>
      </c>
      <c r="H255" s="49">
        <f>AJ250</f>
        <v>13</v>
      </c>
      <c r="I255" s="49">
        <f>AM247</f>
        <v>14</v>
      </c>
      <c r="J255" s="49">
        <f>AP231</f>
        <v>13</v>
      </c>
      <c r="K255" s="49">
        <f>AP243</f>
        <v>0</v>
      </c>
      <c r="L255" s="49">
        <f>AP250</f>
        <v>15</v>
      </c>
    </row>
    <row r="256" spans="1:42" ht="24" customHeight="1">
      <c r="A256" s="50" t="s">
        <v>2</v>
      </c>
      <c r="B256" s="50"/>
      <c r="C256" s="49">
        <v>38</v>
      </c>
      <c r="D256" s="49">
        <v>58</v>
      </c>
      <c r="E256" s="49">
        <v>58</v>
      </c>
      <c r="F256" s="49">
        <v>0</v>
      </c>
      <c r="G256" s="49">
        <v>12</v>
      </c>
      <c r="H256" s="49">
        <v>13</v>
      </c>
      <c r="I256" s="49">
        <v>14</v>
      </c>
      <c r="J256" s="49">
        <v>13</v>
      </c>
      <c r="K256" s="49">
        <v>0</v>
      </c>
      <c r="L256" s="49">
        <v>15</v>
      </c>
    </row>
    <row r="257" spans="1:47" ht="24" customHeight="1">
      <c r="A257" s="50" t="s">
        <v>3</v>
      </c>
      <c r="C257" s="49" t="str">
        <f>IF(C255=C256,"Y","N")</f>
        <v>Y</v>
      </c>
      <c r="D257" s="49" t="str">
        <f t="shared" ref="D257" si="19">IF(D255=D256,"Y","N")</f>
        <v>Y</v>
      </c>
      <c r="E257" s="49" t="str">
        <f t="shared" ref="E257" si="20">IF(E255=E256,"Y","N")</f>
        <v>Y</v>
      </c>
      <c r="F257" s="49" t="str">
        <f t="shared" ref="F257" si="21">IF(F255=F256,"Y","N")</f>
        <v>Y</v>
      </c>
      <c r="G257" s="49" t="str">
        <f t="shared" ref="G257" si="22">IF(G255=G256,"Y","N")</f>
        <v>Y</v>
      </c>
      <c r="H257" s="49" t="str">
        <f t="shared" ref="H257" si="23">IF(H255=H256,"Y","N")</f>
        <v>Y</v>
      </c>
      <c r="I257" s="49" t="str">
        <f t="shared" ref="I257" si="24">IF(I255=I256,"Y","N")</f>
        <v>Y</v>
      </c>
      <c r="J257" s="49" t="str">
        <f t="shared" ref="J257" si="25">IF(J255=J256,"Y","N")</f>
        <v>Y</v>
      </c>
      <c r="K257" s="49" t="str">
        <f t="shared" ref="K257" si="26">IF(K255=K256,"Y","N")</f>
        <v>Y</v>
      </c>
      <c r="L257" s="49" t="str">
        <f t="shared" ref="L257" si="27">IF(L255=L256,"Y","N")</f>
        <v>Y</v>
      </c>
    </row>
    <row r="258" spans="1:47" ht="24" customHeight="1">
      <c r="A258" s="50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47" ht="24" customHeight="1">
      <c r="A259" s="50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47" ht="24" customHeight="1">
      <c r="A260" s="50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47" ht="24" customHeight="1">
      <c r="A261" s="50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47" ht="24" customHeight="1">
      <c r="A262" s="50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47" ht="24" customHeight="1">
      <c r="A263" s="50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47" ht="24" customHeight="1">
      <c r="A264" s="50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47" ht="24" customHeight="1">
      <c r="A265" s="50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7" spans="1:47" s="142" customFormat="1" ht="32.1">
      <c r="A267" s="142" t="s">
        <v>99</v>
      </c>
    </row>
    <row r="269" spans="1:47" ht="24" customHeight="1">
      <c r="C269" s="1"/>
      <c r="D269" s="1"/>
      <c r="E269" s="1"/>
      <c r="F269" s="1"/>
      <c r="G269" s="1"/>
      <c r="H269" s="1"/>
      <c r="I269" s="1"/>
      <c r="J269" s="1"/>
      <c r="L269" s="1"/>
    </row>
    <row r="270" spans="1:47" ht="24" customHeight="1">
      <c r="C270" s="1"/>
      <c r="D270" s="1"/>
      <c r="E270" s="1"/>
      <c r="F270" s="1"/>
      <c r="G270" s="1"/>
      <c r="H270" s="1"/>
      <c r="I270" s="1"/>
      <c r="J270" s="1"/>
      <c r="L270" s="1"/>
    </row>
    <row r="271" spans="1:47" ht="24" customHeight="1">
      <c r="B271" t="s">
        <v>100</v>
      </c>
      <c r="C271" s="40"/>
      <c r="D271" s="41"/>
      <c r="E271" s="42"/>
      <c r="F271" s="1"/>
      <c r="G271" s="1"/>
      <c r="H271" s="1"/>
      <c r="I271" s="1"/>
      <c r="J271" s="1"/>
      <c r="L271" s="1"/>
      <c r="N271" t="s">
        <v>83</v>
      </c>
      <c r="O271" s="7">
        <v>1</v>
      </c>
      <c r="P271" s="6"/>
      <c r="Q271" t="s">
        <v>84</v>
      </c>
      <c r="R271" s="7">
        <v>2</v>
      </c>
      <c r="S271" s="6"/>
      <c r="T271" t="s">
        <v>85</v>
      </c>
      <c r="U271" s="7">
        <v>1</v>
      </c>
      <c r="V271" s="6"/>
      <c r="W271" t="s">
        <v>86</v>
      </c>
      <c r="X271" s="7">
        <v>0</v>
      </c>
      <c r="Y271" s="6"/>
      <c r="AE271" s="1"/>
      <c r="AF271" s="1"/>
      <c r="AH271" s="1"/>
      <c r="AJ271" t="s">
        <v>83</v>
      </c>
      <c r="AK271" s="7">
        <v>1</v>
      </c>
      <c r="AL271" s="6"/>
      <c r="AM271" t="s">
        <v>84</v>
      </c>
      <c r="AN271" s="7">
        <v>2</v>
      </c>
      <c r="AO271" s="6"/>
      <c r="AP271" t="s">
        <v>85</v>
      </c>
      <c r="AQ271" s="7">
        <v>1</v>
      </c>
      <c r="AR271" s="6"/>
      <c r="AS271" t="s">
        <v>86</v>
      </c>
      <c r="AT271" s="7">
        <v>0</v>
      </c>
      <c r="AU271" s="6"/>
    </row>
    <row r="272" spans="1:47" ht="24" customHeight="1">
      <c r="I272" s="1"/>
      <c r="J272" s="1"/>
      <c r="K272" s="1"/>
      <c r="L272" s="1"/>
      <c r="O272" s="8">
        <v>2</v>
      </c>
      <c r="R272" s="8">
        <v>0</v>
      </c>
      <c r="U272" s="8">
        <v>3</v>
      </c>
      <c r="X272" s="8">
        <v>1</v>
      </c>
      <c r="AE272" s="1"/>
      <c r="AF272" s="1"/>
      <c r="AG272" s="1"/>
      <c r="AH272" s="1"/>
      <c r="AK272" s="8">
        <v>2</v>
      </c>
      <c r="AN272" s="8">
        <v>0</v>
      </c>
      <c r="AQ272" s="8">
        <v>3</v>
      </c>
      <c r="AT272" s="8">
        <v>1</v>
      </c>
    </row>
    <row r="273" spans="2:47" ht="24" customHeight="1">
      <c r="I273" s="1"/>
      <c r="J273" s="1"/>
      <c r="K273" s="1"/>
      <c r="L273" s="1"/>
      <c r="O273" s="9">
        <v>1</v>
      </c>
      <c r="R273" s="9">
        <v>1</v>
      </c>
      <c r="U273" s="9">
        <v>-1</v>
      </c>
      <c r="X273" s="9">
        <v>3</v>
      </c>
      <c r="AE273" s="1"/>
      <c r="AF273" s="1"/>
      <c r="AG273" s="1"/>
      <c r="AH273" s="1"/>
      <c r="AK273" s="9">
        <v>1</v>
      </c>
      <c r="AN273" s="9">
        <v>1</v>
      </c>
      <c r="AQ273" s="9">
        <v>-1</v>
      </c>
      <c r="AT273" s="9">
        <v>3</v>
      </c>
    </row>
    <row r="274" spans="2:47" ht="24" customHeight="1">
      <c r="I274" s="1"/>
      <c r="J274" s="1"/>
      <c r="K274" s="1"/>
      <c r="L274" s="1"/>
      <c r="O274" s="1">
        <v>1</v>
      </c>
      <c r="R274" s="1">
        <v>1</v>
      </c>
      <c r="U274" s="1">
        <v>1</v>
      </c>
      <c r="X274" s="1">
        <v>1</v>
      </c>
      <c r="AE274" s="1"/>
      <c r="AF274" s="1"/>
      <c r="AG274" s="1"/>
      <c r="AH274" s="1"/>
      <c r="AJ274" t="s">
        <v>87</v>
      </c>
      <c r="AK274" s="14">
        <v>0</v>
      </c>
      <c r="AM274" t="s">
        <v>88</v>
      </c>
      <c r="AN274" s="14" cm="1">
        <f t="array" ref="AN274:AN277">_xlfn.ANCHORARRAY(AK285)</f>
        <v>1</v>
      </c>
      <c r="AP274" t="s">
        <v>89</v>
      </c>
      <c r="AQ274" s="14" cm="1">
        <f t="array" ref="AQ274:AQ277">_xlfn.ANCHORARRAY(AN285)</f>
        <v>3</v>
      </c>
      <c r="AS274" t="s">
        <v>90</v>
      </c>
      <c r="AT274" s="14" cm="1">
        <f t="array" ref="AT274:AT277">_xlfn.ANCHORARRAY(AQ285)</f>
        <v>0</v>
      </c>
    </row>
    <row r="275" spans="2:47" ht="24" customHeight="1">
      <c r="I275" s="1"/>
      <c r="J275" s="1"/>
      <c r="K275" s="1"/>
      <c r="L275" s="1"/>
      <c r="AE275" s="1"/>
      <c r="AF275" s="1"/>
      <c r="AG275" s="1"/>
      <c r="AH275" s="1"/>
      <c r="AK275" s="24">
        <v>0</v>
      </c>
      <c r="AN275" s="24">
        <v>0</v>
      </c>
      <c r="AQ275" s="24">
        <v>5</v>
      </c>
      <c r="AT275" s="24">
        <v>6</v>
      </c>
    </row>
    <row r="276" spans="2:47" ht="24" customHeight="1">
      <c r="I276" s="1"/>
      <c r="J276" s="3" t="s">
        <v>101</v>
      </c>
      <c r="K276" s="1"/>
      <c r="L276" s="1"/>
      <c r="M276" s="1"/>
      <c r="N276" s="3"/>
      <c r="O276" s="1"/>
      <c r="Q276" s="3"/>
      <c r="R276" s="1"/>
      <c r="T276" s="3"/>
      <c r="U276" s="1"/>
      <c r="W276" s="3"/>
      <c r="X276" s="1"/>
      <c r="AK276" s="24">
        <v>0</v>
      </c>
      <c r="AN276" s="24">
        <v>4</v>
      </c>
      <c r="AQ276" s="24">
        <v>8</v>
      </c>
      <c r="AT276" s="24">
        <v>12</v>
      </c>
    </row>
    <row r="277" spans="2:47" ht="24" customHeight="1">
      <c r="J277" s="1" t="s">
        <v>102</v>
      </c>
      <c r="K277" s="1"/>
      <c r="L277" s="1"/>
      <c r="M277" s="1" t="s">
        <v>63</v>
      </c>
      <c r="N277" s="1"/>
      <c r="O277" s="1"/>
      <c r="Q277" s="1"/>
      <c r="R277" s="1"/>
      <c r="T277" s="1"/>
      <c r="U277" s="1"/>
      <c r="W277" s="1"/>
      <c r="X277" s="1"/>
      <c r="AK277" s="15">
        <v>0</v>
      </c>
      <c r="AN277" s="15">
        <v>2</v>
      </c>
      <c r="AQ277" s="15">
        <v>2</v>
      </c>
      <c r="AT277" s="15">
        <v>20</v>
      </c>
    </row>
    <row r="278" spans="2:47" ht="24" customHeight="1">
      <c r="J278" s="2">
        <v>1</v>
      </c>
      <c r="K278" s="2">
        <v>-1</v>
      </c>
      <c r="L278" s="2">
        <v>1</v>
      </c>
      <c r="M278" s="13">
        <v>1</v>
      </c>
      <c r="N278" s="1"/>
      <c r="O278" s="10" cm="1">
        <f t="array" ref="O278:O281">MMULT(J278:M281,O271:O274)</f>
        <v>1</v>
      </c>
      <c r="Q278" s="1"/>
      <c r="R278" s="10" cm="1">
        <f t="array" ref="R278:R281">MMULT(J278:M281,R271:R274)</f>
        <v>4</v>
      </c>
      <c r="T278" s="1"/>
      <c r="U278" s="10" cm="1">
        <f t="array" ref="U278:U281">MMULT(J278:M281,U271:U274)</f>
        <v>-2</v>
      </c>
      <c r="W278" s="1"/>
      <c r="X278" s="10" cm="1">
        <f t="array" ref="X278:X281">MMULT(J278:M281,X271:X274)</f>
        <v>3</v>
      </c>
      <c r="AB278" t="s">
        <v>101</v>
      </c>
      <c r="AK278" s="1">
        <v>1</v>
      </c>
      <c r="AN278" s="1">
        <v>1</v>
      </c>
      <c r="AQ278" s="1">
        <v>1</v>
      </c>
      <c r="AT278" s="1">
        <v>1</v>
      </c>
    </row>
    <row r="279" spans="2:47" ht="24" customHeight="1">
      <c r="J279" s="2">
        <v>2</v>
      </c>
      <c r="K279" s="2">
        <v>-1</v>
      </c>
      <c r="L279" s="2">
        <v>2</v>
      </c>
      <c r="M279" s="13">
        <v>-3</v>
      </c>
      <c r="N279" s="1"/>
      <c r="O279" s="11">
        <v>-1</v>
      </c>
      <c r="Q279" s="1"/>
      <c r="R279" s="11">
        <v>3</v>
      </c>
      <c r="T279" s="1"/>
      <c r="U279" s="11">
        <v>-6</v>
      </c>
      <c r="W279" s="1"/>
      <c r="X279" s="11">
        <v>2</v>
      </c>
      <c r="AF279" s="1"/>
      <c r="AG279" s="1"/>
      <c r="AH279" s="1"/>
      <c r="AI279" s="1" t="s">
        <v>63</v>
      </c>
      <c r="AJ279" s="1"/>
      <c r="AK279" s="1"/>
      <c r="AM279" s="1"/>
      <c r="AN279" s="1"/>
      <c r="AP279" s="1"/>
      <c r="AQ279" s="1"/>
      <c r="AS279" s="1"/>
      <c r="AT279" s="1"/>
    </row>
    <row r="280" spans="2:47" ht="24" customHeight="1">
      <c r="J280" s="2">
        <v>1</v>
      </c>
      <c r="K280" s="2">
        <v>0</v>
      </c>
      <c r="L280" s="2">
        <v>1</v>
      </c>
      <c r="M280" s="13">
        <v>2</v>
      </c>
      <c r="N280" s="1"/>
      <c r="O280" s="11">
        <v>4</v>
      </c>
      <c r="Q280" s="1"/>
      <c r="R280" s="11">
        <v>5</v>
      </c>
      <c r="T280" s="1"/>
      <c r="U280" s="11">
        <v>2</v>
      </c>
      <c r="W280" s="1"/>
      <c r="X280" s="11">
        <v>5</v>
      </c>
      <c r="AB280" s="16">
        <v>1</v>
      </c>
      <c r="AC280" s="17">
        <v>-1</v>
      </c>
      <c r="AD280" s="18">
        <v>1</v>
      </c>
      <c r="AE280" s="16">
        <v>1</v>
      </c>
      <c r="AF280" s="17">
        <v>1</v>
      </c>
      <c r="AG280" s="17">
        <v>-1</v>
      </c>
      <c r="AH280" s="18">
        <v>1</v>
      </c>
      <c r="AI280" s="13">
        <v>1</v>
      </c>
      <c r="AJ280" s="1"/>
      <c r="AK280" s="10" cm="1">
        <f t="array" ref="AK280:AK283">MMULT(AB280:AI283,AK271:AK278)</f>
        <v>1</v>
      </c>
      <c r="AM280" s="1"/>
      <c r="AN280" s="10" cm="1">
        <f t="array" ref="AN280:AN283">MMULT(AB280:AI283,AN271:AN278)</f>
        <v>3</v>
      </c>
      <c r="AP280" s="1"/>
      <c r="AQ280" s="10" cm="1">
        <f t="array" ref="AQ280:AQ283">MMULT(AB280:AI283,AQ271:AQ278)</f>
        <v>0</v>
      </c>
      <c r="AS280" s="1"/>
      <c r="AT280" s="10" cm="1">
        <f t="array" ref="AT280:AT283">MMULT(AB280:AI283,AT271:AT278)</f>
        <v>17</v>
      </c>
    </row>
    <row r="281" spans="2:47" ht="24" customHeight="1">
      <c r="J281" s="2">
        <v>0</v>
      </c>
      <c r="K281" s="2">
        <v>2</v>
      </c>
      <c r="L281" s="2">
        <v>-2</v>
      </c>
      <c r="M281" s="13">
        <v>0</v>
      </c>
      <c r="N281" s="1"/>
      <c r="O281" s="12">
        <v>2</v>
      </c>
      <c r="Q281" s="1"/>
      <c r="R281" s="12">
        <v>-2</v>
      </c>
      <c r="T281" s="1"/>
      <c r="U281" s="12">
        <v>8</v>
      </c>
      <c r="W281" s="1"/>
      <c r="X281" s="12">
        <v>-4</v>
      </c>
      <c r="AB281" s="19">
        <v>2</v>
      </c>
      <c r="AC281" s="2">
        <v>-1</v>
      </c>
      <c r="AD281" s="20">
        <v>2</v>
      </c>
      <c r="AE281" s="19">
        <v>2</v>
      </c>
      <c r="AF281" s="2">
        <v>2</v>
      </c>
      <c r="AG281" s="2">
        <v>-1</v>
      </c>
      <c r="AH281" s="20">
        <v>2</v>
      </c>
      <c r="AI281" s="13">
        <v>-3</v>
      </c>
      <c r="AJ281" s="1"/>
      <c r="AK281" s="11">
        <v>-1</v>
      </c>
      <c r="AM281" s="1"/>
      <c r="AN281" s="11">
        <v>5</v>
      </c>
      <c r="AP281" s="1"/>
      <c r="AQ281" s="11">
        <v>6</v>
      </c>
      <c r="AS281" s="1"/>
      <c r="AT281" s="11">
        <v>42</v>
      </c>
    </row>
    <row r="282" spans="2:47" ht="24" customHeight="1">
      <c r="I282" s="1"/>
      <c r="J282" s="1"/>
      <c r="K282" s="1"/>
      <c r="L282" s="1"/>
      <c r="M282" s="1"/>
      <c r="N282" s="1"/>
      <c r="O282" s="1"/>
      <c r="Q282" s="1"/>
      <c r="R282" s="1"/>
      <c r="T282" s="1"/>
      <c r="U282" s="1"/>
      <c r="W282" s="1"/>
      <c r="X282" s="1"/>
      <c r="AB282" s="19">
        <v>1</v>
      </c>
      <c r="AC282" s="2">
        <v>0</v>
      </c>
      <c r="AD282" s="20">
        <v>1</v>
      </c>
      <c r="AE282" s="19">
        <v>1</v>
      </c>
      <c r="AF282" s="2">
        <v>1</v>
      </c>
      <c r="AG282" s="2">
        <v>0</v>
      </c>
      <c r="AH282" s="20">
        <v>1</v>
      </c>
      <c r="AI282" s="13">
        <v>2</v>
      </c>
      <c r="AJ282" s="1"/>
      <c r="AK282" s="11">
        <v>4</v>
      </c>
      <c r="AM282" s="1"/>
      <c r="AN282" s="11">
        <v>8</v>
      </c>
      <c r="AP282" s="1"/>
      <c r="AQ282" s="11">
        <v>12</v>
      </c>
      <c r="AS282" s="1"/>
      <c r="AT282" s="11">
        <v>31</v>
      </c>
    </row>
    <row r="283" spans="2:47" ht="24" customHeight="1">
      <c r="B283" t="s">
        <v>103</v>
      </c>
      <c r="C283" s="43"/>
      <c r="D283" s="44"/>
      <c r="E283" s="44"/>
      <c r="F283" s="45"/>
      <c r="I283" s="1"/>
      <c r="J283" s="1"/>
      <c r="K283" t="s">
        <v>93</v>
      </c>
      <c r="L283" s="1"/>
      <c r="M283" s="1"/>
      <c r="N283" t="s">
        <v>88</v>
      </c>
      <c r="O283" s="14" cm="1">
        <f t="array" ref="O283:O286">_xlfn.MAP(_xlfn.ANCHORARRAY(O278),_xlfn.LAMBDA(_xlpm.x, MAX(_xlpm.x,0)))</f>
        <v>1</v>
      </c>
      <c r="Q283" s="1" t="s">
        <v>89</v>
      </c>
      <c r="R283" s="14" cm="1">
        <f t="array" ref="R283:R286">_xlfn.MAP(_xlfn.ANCHORARRAY(R278),_xlfn.LAMBDA(_xlpm.x, MAX(_xlpm.x,0)))</f>
        <v>4</v>
      </c>
      <c r="T283" t="s">
        <v>90</v>
      </c>
      <c r="U283" s="14" cm="1">
        <f t="array" ref="U283:U286">_xlfn.MAP(_xlfn.ANCHORARRAY(U278),_xlfn.LAMBDA(_xlpm.x, MAX(_xlpm.x,0)))</f>
        <v>0</v>
      </c>
      <c r="W283" t="s">
        <v>104</v>
      </c>
      <c r="X283" s="14" cm="1">
        <f t="array" ref="X283:X286">_xlfn.MAP(_xlfn.ANCHORARRAY(X278),_xlfn.LAMBDA(_xlpm.x, MAX(_xlpm.x,0)))</f>
        <v>3</v>
      </c>
      <c r="AB283" s="21">
        <v>0</v>
      </c>
      <c r="AC283" s="22">
        <v>2</v>
      </c>
      <c r="AD283" s="23">
        <v>-2</v>
      </c>
      <c r="AE283" s="21">
        <v>0</v>
      </c>
      <c r="AF283" s="22">
        <v>0</v>
      </c>
      <c r="AG283" s="22">
        <v>2</v>
      </c>
      <c r="AH283" s="23">
        <v>-2</v>
      </c>
      <c r="AI283" s="13">
        <v>0</v>
      </c>
      <c r="AJ283" s="1"/>
      <c r="AK283" s="12">
        <v>2</v>
      </c>
      <c r="AM283" s="1"/>
      <c r="AN283" s="12">
        <v>2</v>
      </c>
      <c r="AP283" s="1"/>
      <c r="AQ283" s="12">
        <v>20</v>
      </c>
      <c r="AS283" s="1"/>
      <c r="AT283" s="12">
        <v>-20</v>
      </c>
    </row>
    <row r="284" spans="2:47" ht="24" customHeight="1">
      <c r="I284" s="1"/>
      <c r="J284" s="1"/>
      <c r="K284" s="1"/>
      <c r="L284" s="1"/>
      <c r="M284" s="1"/>
      <c r="N284" s="1"/>
      <c r="O284" s="24">
        <v>0</v>
      </c>
      <c r="P284" s="6"/>
      <c r="Q284" s="1"/>
      <c r="R284" s="24">
        <v>3</v>
      </c>
      <c r="S284" s="6"/>
      <c r="T284" s="1"/>
      <c r="U284" s="24">
        <v>0</v>
      </c>
      <c r="V284" s="6"/>
      <c r="W284" s="1"/>
      <c r="X284" s="24">
        <v>2</v>
      </c>
      <c r="Y284" s="6"/>
      <c r="AE284" s="1"/>
      <c r="AF284" s="1"/>
      <c r="AG284" s="1"/>
      <c r="AH284" t="s">
        <v>93</v>
      </c>
      <c r="AI284" s="1"/>
      <c r="AJ284" s="1"/>
      <c r="AK284" s="1"/>
      <c r="AM284" s="1"/>
      <c r="AN284" s="1"/>
      <c r="AP284" s="1"/>
      <c r="AQ284" s="1"/>
      <c r="AS284" s="1"/>
      <c r="AT284" s="1"/>
    </row>
    <row r="285" spans="2:47" ht="24" customHeight="1">
      <c r="I285" s="1"/>
      <c r="J285" s="1"/>
      <c r="K285" s="1"/>
      <c r="L285" s="1"/>
      <c r="M285" s="1"/>
      <c r="N285" s="1"/>
      <c r="O285" s="24">
        <v>4</v>
      </c>
      <c r="Q285" s="1"/>
      <c r="R285" s="24">
        <v>5</v>
      </c>
      <c r="T285" s="1"/>
      <c r="U285" s="24">
        <v>2</v>
      </c>
      <c r="W285" s="1"/>
      <c r="X285" s="24">
        <v>5</v>
      </c>
      <c r="AE285" s="1"/>
      <c r="AF285" s="1"/>
      <c r="AG285" t="s">
        <v>87</v>
      </c>
      <c r="AH285" s="14">
        <v>0</v>
      </c>
      <c r="AI285" s="1"/>
      <c r="AJ285" t="s">
        <v>88</v>
      </c>
      <c r="AK285" s="14" cm="1">
        <f t="array" ref="AK285:AK288">_xlfn.MAP(_xlfn.ANCHORARRAY(AK280),_xlfn.LAMBDA(_xlpm.x, MAX(_xlpm.x,0)))</f>
        <v>1</v>
      </c>
      <c r="AM285" s="1" t="s">
        <v>89</v>
      </c>
      <c r="AN285" s="14" cm="1">
        <f t="array" ref="AN285:AN288">_xlfn.MAP(_xlfn.ANCHORARRAY(AN280),_xlfn.LAMBDA(_xlpm.x, MAX(_xlpm.x,0)))</f>
        <v>3</v>
      </c>
      <c r="AP285" t="s">
        <v>90</v>
      </c>
      <c r="AQ285" s="14" cm="1">
        <f t="array" ref="AQ285:AQ288">_xlfn.MAP(_xlfn.ANCHORARRAY(AQ280),_xlfn.LAMBDA(_xlpm.x, MAX(_xlpm.x,0)))</f>
        <v>0</v>
      </c>
      <c r="AS285" t="s">
        <v>104</v>
      </c>
      <c r="AT285" s="14" cm="1">
        <f t="array" ref="AT285:AT288">_xlfn.MAP(_xlfn.ANCHORARRAY(AT280),_xlfn.LAMBDA(_xlpm.x, MAX(_xlpm.x,0)))</f>
        <v>17</v>
      </c>
    </row>
    <row r="286" spans="2:47" ht="24" customHeight="1">
      <c r="I286" s="1"/>
      <c r="J286" s="1"/>
      <c r="K286" s="1"/>
      <c r="L286" s="1"/>
      <c r="M286" s="1"/>
      <c r="N286" s="1"/>
      <c r="O286" s="15">
        <v>2</v>
      </c>
      <c r="Q286" s="1"/>
      <c r="R286" s="15">
        <v>0</v>
      </c>
      <c r="T286" s="1"/>
      <c r="U286" s="15">
        <v>8</v>
      </c>
      <c r="W286" s="1"/>
      <c r="X286" s="15">
        <v>0</v>
      </c>
      <c r="AE286" s="1"/>
      <c r="AF286" s="1"/>
      <c r="AG286" s="1"/>
      <c r="AH286" s="24">
        <v>0</v>
      </c>
      <c r="AI286" s="6"/>
      <c r="AJ286" s="1"/>
      <c r="AK286" s="24">
        <v>0</v>
      </c>
      <c r="AL286" s="6"/>
      <c r="AM286" s="1"/>
      <c r="AN286" s="24">
        <v>5</v>
      </c>
      <c r="AO286" s="6"/>
      <c r="AP286" s="1"/>
      <c r="AQ286" s="24">
        <v>6</v>
      </c>
      <c r="AR286" s="6"/>
      <c r="AS286" s="1"/>
      <c r="AT286" s="24">
        <v>42</v>
      </c>
      <c r="AU286" s="6"/>
    </row>
    <row r="287" spans="2:47" ht="24" customHeight="1">
      <c r="I287" s="3" t="s">
        <v>101</v>
      </c>
      <c r="J287" s="1"/>
      <c r="K287" s="1"/>
      <c r="L287" s="1"/>
      <c r="M287" s="1"/>
      <c r="N287" s="1"/>
      <c r="O287" s="1">
        <v>1</v>
      </c>
      <c r="Q287" s="1"/>
      <c r="R287" s="1">
        <v>1</v>
      </c>
      <c r="T287" s="1"/>
      <c r="U287" s="1">
        <v>1</v>
      </c>
      <c r="W287" s="1"/>
      <c r="X287" s="1">
        <v>1</v>
      </c>
      <c r="AE287" s="1"/>
      <c r="AF287" s="1"/>
      <c r="AG287" s="1"/>
      <c r="AH287" s="24">
        <v>0</v>
      </c>
      <c r="AI287" s="1"/>
      <c r="AJ287" s="1"/>
      <c r="AK287" s="24">
        <v>4</v>
      </c>
      <c r="AM287" s="1"/>
      <c r="AN287" s="24">
        <v>8</v>
      </c>
      <c r="AP287" s="1"/>
      <c r="AQ287" s="24">
        <v>12</v>
      </c>
      <c r="AS287" s="1"/>
      <c r="AT287" s="24">
        <v>31</v>
      </c>
    </row>
    <row r="288" spans="2:47" ht="24" customHeight="1">
      <c r="I288" s="1" t="s">
        <v>102</v>
      </c>
      <c r="J288" s="1"/>
      <c r="K288" s="1"/>
      <c r="L288" s="1"/>
      <c r="M288" s="1" t="s">
        <v>63</v>
      </c>
      <c r="N288" s="3"/>
      <c r="O288" s="1"/>
      <c r="Q288" s="3"/>
      <c r="R288" s="1"/>
      <c r="T288" s="3"/>
      <c r="U288" s="1"/>
      <c r="W288" s="3"/>
      <c r="X288" s="1"/>
      <c r="AE288" s="1"/>
      <c r="AF288" s="1"/>
      <c r="AG288" s="1"/>
      <c r="AH288" s="15">
        <v>0</v>
      </c>
      <c r="AI288" s="1"/>
      <c r="AJ288" s="1"/>
      <c r="AK288" s="15">
        <v>2</v>
      </c>
      <c r="AM288" s="1"/>
      <c r="AN288" s="15">
        <v>2</v>
      </c>
      <c r="AP288" s="1"/>
      <c r="AQ288" s="15">
        <v>20</v>
      </c>
      <c r="AS288" s="1"/>
      <c r="AT288" s="15">
        <v>0</v>
      </c>
    </row>
    <row r="289" spans="1:47" ht="24" customHeight="1">
      <c r="I289" s="2">
        <v>1</v>
      </c>
      <c r="J289" s="2">
        <v>-1</v>
      </c>
      <c r="K289" s="2">
        <v>0</v>
      </c>
      <c r="L289" s="2">
        <v>0</v>
      </c>
      <c r="M289" s="13">
        <v>5</v>
      </c>
      <c r="O289" s="10" cm="1">
        <f t="array" ref="O289:O290">MMULT($I289:$M290,O283:O287)</f>
        <v>6</v>
      </c>
      <c r="Q289" s="1"/>
      <c r="R289" s="10" cm="1">
        <f t="array" ref="R289:R290">MMULT($I289:$M290,R283:R287)</f>
        <v>6</v>
      </c>
      <c r="T289" s="1"/>
      <c r="U289" s="10" cm="1">
        <f t="array" ref="U289:U290">MMULT($I289:$M290,U283:U287)</f>
        <v>5</v>
      </c>
      <c r="W289" s="1"/>
      <c r="X289" s="10" cm="1">
        <f t="array" ref="X289:X290">MMULT($I289:$M290,X283:X287)</f>
        <v>6</v>
      </c>
      <c r="AE289" s="3" t="s">
        <v>101</v>
      </c>
      <c r="AF289" s="1"/>
      <c r="AG289" s="1"/>
      <c r="AH289" s="1"/>
      <c r="AI289" s="1"/>
      <c r="AJ289" s="1"/>
      <c r="AK289" s="1">
        <v>1</v>
      </c>
      <c r="AM289" s="1"/>
      <c r="AN289" s="1">
        <v>1</v>
      </c>
      <c r="AP289" s="1"/>
      <c r="AQ289" s="1">
        <v>1</v>
      </c>
      <c r="AS289" s="1"/>
      <c r="AT289" s="1">
        <v>1</v>
      </c>
    </row>
    <row r="290" spans="1:47" ht="24" customHeight="1">
      <c r="I290" s="2">
        <v>0</v>
      </c>
      <c r="J290" s="2">
        <v>0</v>
      </c>
      <c r="K290" s="2">
        <v>1</v>
      </c>
      <c r="L290" s="2">
        <v>-1</v>
      </c>
      <c r="M290" s="13">
        <v>-3</v>
      </c>
      <c r="O290" s="12">
        <v>-1</v>
      </c>
      <c r="Q290" s="1"/>
      <c r="R290" s="12">
        <v>2</v>
      </c>
      <c r="T290" s="1"/>
      <c r="U290" s="12">
        <v>-9</v>
      </c>
      <c r="W290" s="1"/>
      <c r="X290" s="12">
        <v>2</v>
      </c>
      <c r="AE290" s="1" t="s">
        <v>102</v>
      </c>
      <c r="AF290" s="1"/>
      <c r="AG290" s="1"/>
      <c r="AH290" s="1"/>
      <c r="AI290" s="1" t="s">
        <v>63</v>
      </c>
      <c r="AJ290" s="3"/>
      <c r="AK290" s="1"/>
      <c r="AM290" s="3"/>
      <c r="AN290" s="1"/>
      <c r="AP290" s="3"/>
      <c r="AQ290" s="1"/>
      <c r="AS290" s="3"/>
      <c r="AT290" s="1"/>
    </row>
    <row r="291" spans="1:47" ht="24" customHeight="1">
      <c r="AE291" s="2">
        <v>1</v>
      </c>
      <c r="AF291" s="2">
        <v>-1</v>
      </c>
      <c r="AG291" s="2">
        <v>0</v>
      </c>
      <c r="AH291" s="2">
        <v>0</v>
      </c>
      <c r="AI291" s="13">
        <v>5</v>
      </c>
      <c r="AK291" s="10" cm="1">
        <f t="array" ref="AK291:AK292">MMULT($I289:$M290,AK285:AK289)</f>
        <v>6</v>
      </c>
      <c r="AM291" s="1"/>
      <c r="AN291" s="10" cm="1">
        <f t="array" ref="AN291:AN292">MMULT($I289:$M290,AN285:AN289)</f>
        <v>3</v>
      </c>
      <c r="AP291" s="1"/>
      <c r="AQ291" s="10" cm="1">
        <f t="array" ref="AQ291:AQ292">MMULT($I289:$M290,AQ285:AQ289)</f>
        <v>-1</v>
      </c>
      <c r="AS291" s="1"/>
      <c r="AT291" s="10" cm="1">
        <f t="array" ref="AT291:AT292">MMULT($I289:$M290,AT285:AT289)</f>
        <v>-20</v>
      </c>
    </row>
    <row r="292" spans="1:47" ht="24" customHeight="1">
      <c r="B292" t="s">
        <v>105</v>
      </c>
      <c r="C292" s="46"/>
      <c r="D292" s="47"/>
      <c r="K292" t="s">
        <v>93</v>
      </c>
      <c r="N292" s="26" t="s">
        <v>95</v>
      </c>
      <c r="O292" s="27" cm="1">
        <f t="array" ref="O292:O293">_xlfn.MAP(_xlfn.ANCHORARRAY(O289),_xlfn.LAMBDA(_xlpm.x, MAX(_xlpm.x,0)))</f>
        <v>6</v>
      </c>
      <c r="Q292" s="26" t="s">
        <v>96</v>
      </c>
      <c r="R292" s="27" cm="1">
        <f t="array" ref="R292:R293">_xlfn.MAP(_xlfn.ANCHORARRAY(R289),_xlfn.LAMBDA(_xlpm.x, MAX(_xlpm.x,0)))</f>
        <v>6</v>
      </c>
      <c r="T292" s="25" t="s">
        <v>97</v>
      </c>
      <c r="U292" s="27" cm="1">
        <f t="array" ref="U292:U293">_xlfn.MAP(_xlfn.ANCHORARRAY(U289),_xlfn.LAMBDA(_xlpm.x, MAX(_xlpm.x,0)))</f>
        <v>5</v>
      </c>
      <c r="W292" s="25" t="s">
        <v>98</v>
      </c>
      <c r="X292" s="27" cm="1">
        <f t="array" ref="X292:X293">_xlfn.MAP(_xlfn.ANCHORARRAY(X289),_xlfn.LAMBDA(_xlpm.x, MAX(_xlpm.x,0)))</f>
        <v>6</v>
      </c>
      <c r="AE292" s="2">
        <v>0</v>
      </c>
      <c r="AF292" s="2">
        <v>0</v>
      </c>
      <c r="AG292" s="2">
        <v>1</v>
      </c>
      <c r="AH292" s="2">
        <v>-1</v>
      </c>
      <c r="AI292" s="13">
        <v>-3</v>
      </c>
      <c r="AK292" s="12">
        <v>-1</v>
      </c>
      <c r="AM292" s="1"/>
      <c r="AN292" s="12">
        <v>3</v>
      </c>
      <c r="AP292" s="1"/>
      <c r="AQ292" s="12">
        <v>-11</v>
      </c>
      <c r="AS292" s="1"/>
      <c r="AT292" s="12">
        <v>28</v>
      </c>
    </row>
    <row r="293" spans="1:47" ht="24" customHeight="1">
      <c r="O293" s="28">
        <v>0</v>
      </c>
      <c r="P293" s="6"/>
      <c r="R293" s="28">
        <v>2</v>
      </c>
      <c r="S293" s="6"/>
      <c r="U293" s="28">
        <v>0</v>
      </c>
      <c r="V293" s="6"/>
      <c r="X293" s="28">
        <v>2</v>
      </c>
      <c r="Y293" s="6"/>
    </row>
    <row r="294" spans="1:47" ht="24" customHeight="1">
      <c r="AG294" t="s">
        <v>93</v>
      </c>
      <c r="AJ294" s="26" t="s">
        <v>95</v>
      </c>
      <c r="AK294" s="27" cm="1">
        <f t="array" ref="AK294:AK295">_xlfn.MAP(_xlfn.ANCHORARRAY(AK291),_xlfn.LAMBDA(_xlpm.x, MAX(_xlpm.x,0)))</f>
        <v>6</v>
      </c>
      <c r="AM294" s="26" t="s">
        <v>96</v>
      </c>
      <c r="AN294" s="27" cm="1">
        <f t="array" ref="AN294:AN295">_xlfn.MAP(_xlfn.ANCHORARRAY(AN291),_xlfn.LAMBDA(_xlpm.x, MAX(_xlpm.x,0)))</f>
        <v>3</v>
      </c>
      <c r="AP294" s="25" t="s">
        <v>97</v>
      </c>
      <c r="AQ294" s="27" cm="1">
        <f t="array" ref="AQ294:AQ295">_xlfn.MAP(_xlfn.ANCHORARRAY(AQ291),_xlfn.LAMBDA(_xlpm.x, MAX(_xlpm.x,0)))</f>
        <v>0</v>
      </c>
      <c r="AS294" s="25" t="s">
        <v>98</v>
      </c>
      <c r="AT294" s="27" cm="1">
        <f t="array" ref="AT294:AT295">_xlfn.MAP(_xlfn.ANCHORARRAY(AT291),_xlfn.LAMBDA(_xlpm.x, MAX(_xlpm.x,0)))</f>
        <v>0</v>
      </c>
    </row>
    <row r="295" spans="1:47" ht="24" customHeight="1">
      <c r="AK295" s="28">
        <v>0</v>
      </c>
      <c r="AL295" s="6"/>
      <c r="AN295" s="28">
        <v>3</v>
      </c>
      <c r="AO295" s="6"/>
      <c r="AQ295" s="28">
        <v>0</v>
      </c>
      <c r="AR295" s="6"/>
      <c r="AT295" s="28">
        <v>28</v>
      </c>
      <c r="AU295" s="6"/>
    </row>
    <row r="298" spans="1:47" s="51" customFormat="1" ht="24" customHeight="1"/>
    <row r="299" spans="1:47" ht="24" customHeight="1">
      <c r="C299" s="1">
        <v>1</v>
      </c>
      <c r="D299" s="1">
        <v>2</v>
      </c>
      <c r="E299" s="1">
        <v>3</v>
      </c>
      <c r="F299" s="1">
        <v>4</v>
      </c>
      <c r="G299" s="1">
        <v>5</v>
      </c>
      <c r="H299" s="1">
        <v>6</v>
      </c>
      <c r="I299" s="1">
        <v>7</v>
      </c>
      <c r="J299" s="1">
        <v>8</v>
      </c>
      <c r="K299" s="1">
        <v>9</v>
      </c>
      <c r="L299" s="1">
        <v>10</v>
      </c>
    </row>
    <row r="300" spans="1:47" ht="24" customHeight="1">
      <c r="A300" s="50" t="s">
        <v>1</v>
      </c>
      <c r="B300" s="50"/>
      <c r="C300" s="49">
        <f>R283</f>
        <v>4</v>
      </c>
      <c r="D300" s="49">
        <f>U278</f>
        <v>-2</v>
      </c>
      <c r="E300" s="49">
        <f>X280</f>
        <v>5</v>
      </c>
      <c r="F300" s="49">
        <f>R292</f>
        <v>6</v>
      </c>
      <c r="G300" s="49">
        <f>AN276</f>
        <v>4</v>
      </c>
      <c r="H300" s="49">
        <f>AN276</f>
        <v>4</v>
      </c>
      <c r="I300" s="49">
        <f>AK287</f>
        <v>4</v>
      </c>
      <c r="J300" s="49">
        <f>AN294</f>
        <v>3</v>
      </c>
      <c r="K300" s="49">
        <f>AQ291</f>
        <v>-1</v>
      </c>
      <c r="L300" s="49">
        <f>AT291</f>
        <v>-20</v>
      </c>
    </row>
    <row r="301" spans="1:47" ht="24" customHeight="1">
      <c r="A301" s="50" t="s">
        <v>2</v>
      </c>
      <c r="B301" s="50"/>
      <c r="C301" s="49">
        <v>4</v>
      </c>
      <c r="D301" s="49">
        <v>-2</v>
      </c>
      <c r="E301" s="49">
        <v>5</v>
      </c>
      <c r="F301" s="49">
        <v>6</v>
      </c>
      <c r="G301" s="49">
        <v>4</v>
      </c>
      <c r="H301" s="49">
        <v>4</v>
      </c>
      <c r="I301" s="49">
        <v>4</v>
      </c>
      <c r="J301" s="49">
        <v>3</v>
      </c>
      <c r="K301" s="49">
        <v>-1</v>
      </c>
      <c r="L301" s="49">
        <v>-20</v>
      </c>
    </row>
    <row r="302" spans="1:47" ht="24" customHeight="1">
      <c r="A302" s="50" t="s">
        <v>3</v>
      </c>
      <c r="C302" s="49" t="str">
        <f>IF(C300=C301,"Y","N")</f>
        <v>Y</v>
      </c>
      <c r="D302" s="49" t="str">
        <f t="shared" ref="D302" si="28">IF(D300=D301,"Y","N")</f>
        <v>Y</v>
      </c>
      <c r="E302" s="49" t="str">
        <f t="shared" ref="E302" si="29">IF(E300=E301,"Y","N")</f>
        <v>Y</v>
      </c>
      <c r="F302" s="49" t="str">
        <f t="shared" ref="F302" si="30">IF(F300=F301,"Y","N")</f>
        <v>Y</v>
      </c>
      <c r="G302" s="49" t="str">
        <f t="shared" ref="G302" si="31">IF(G300=G301,"Y","N")</f>
        <v>Y</v>
      </c>
      <c r="H302" s="49" t="str">
        <f t="shared" ref="H302" si="32">IF(H300=H301,"Y","N")</f>
        <v>Y</v>
      </c>
      <c r="I302" s="49" t="str">
        <f t="shared" ref="I302" si="33">IF(I300=I301,"Y","N")</f>
        <v>Y</v>
      </c>
      <c r="J302" s="49" t="str">
        <f t="shared" ref="J302" si="34">IF(J300=J301,"Y","N")</f>
        <v>Y</v>
      </c>
      <c r="K302" s="49" t="str">
        <f t="shared" ref="K302" si="35">IF(K300=K301,"Y","N")</f>
        <v>Y</v>
      </c>
      <c r="L302" s="49" t="str">
        <f t="shared" ref="L302" si="36">IF(L300=L301,"Y","N")</f>
        <v>Y</v>
      </c>
    </row>
    <row r="303" spans="1:47" ht="24" customHeight="1">
      <c r="A303" s="50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47" ht="24" customHeight="1">
      <c r="A304" s="50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27" ht="24" customHeight="1">
      <c r="A305" s="50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27" ht="24" customHeight="1">
      <c r="A306" s="50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27" ht="24" customHeight="1">
      <c r="A307" s="50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9" spans="1:27" s="142" customFormat="1" ht="32.1">
      <c r="A309" s="142" t="s">
        <v>106</v>
      </c>
    </row>
    <row r="311" spans="1:27" ht="24" customHeight="1">
      <c r="E311" s="1"/>
      <c r="G311" t="s">
        <v>107</v>
      </c>
      <c r="J311" s="1"/>
      <c r="K311" s="1"/>
    </row>
    <row r="312" spans="1:27" ht="24" customHeight="1">
      <c r="E312" s="1"/>
      <c r="J312" s="1"/>
      <c r="K312" s="1"/>
    </row>
    <row r="313" spans="1:27" ht="24" customHeight="1">
      <c r="E313" s="1"/>
      <c r="F313" s="1" t="s">
        <v>108</v>
      </c>
      <c r="G313" s="1" t="s">
        <v>42</v>
      </c>
      <c r="H313" s="1" t="s">
        <v>43</v>
      </c>
      <c r="I313" s="1" t="s">
        <v>44</v>
      </c>
      <c r="J313" s="1" t="s">
        <v>109</v>
      </c>
      <c r="K313" s="1"/>
      <c r="R313" t="s">
        <v>110</v>
      </c>
      <c r="S313" s="1" t="s">
        <v>111</v>
      </c>
      <c r="T313" s="1" t="s">
        <v>112</v>
      </c>
      <c r="U313" s="1" t="s">
        <v>113</v>
      </c>
      <c r="V313" s="1" t="s">
        <v>114</v>
      </c>
    </row>
    <row r="314" spans="1:27" ht="24" customHeight="1">
      <c r="E314" s="1"/>
      <c r="G314" s="7">
        <v>1</v>
      </c>
      <c r="H314" s="7">
        <v>2</v>
      </c>
      <c r="I314" s="7">
        <v>1</v>
      </c>
      <c r="J314" s="7">
        <v>0</v>
      </c>
      <c r="K314" s="1"/>
      <c r="S314" s="37" cm="1">
        <f t="array" ref="S314:V315">_xlfn.ANCHORARRAY(G318)</f>
        <v>3</v>
      </c>
      <c r="T314" s="37">
        <v>1</v>
      </c>
      <c r="U314" s="37">
        <v>2</v>
      </c>
      <c r="V314" s="37">
        <v>4</v>
      </c>
    </row>
    <row r="315" spans="1:27" ht="24" customHeight="1">
      <c r="E315" s="1"/>
      <c r="F315" s="1"/>
      <c r="G315" s="8">
        <v>2</v>
      </c>
      <c r="H315" s="8">
        <v>0</v>
      </c>
      <c r="I315" s="8">
        <v>3</v>
      </c>
      <c r="J315" s="8">
        <v>1</v>
      </c>
      <c r="K315" s="1"/>
      <c r="S315" s="38">
        <v>2</v>
      </c>
      <c r="T315" s="38">
        <v>3</v>
      </c>
      <c r="U315" s="38">
        <v>0</v>
      </c>
      <c r="V315" s="38">
        <v>3</v>
      </c>
    </row>
    <row r="316" spans="1:27" ht="24" customHeight="1">
      <c r="E316" s="1"/>
      <c r="F316" s="1"/>
      <c r="G316" s="9">
        <v>1</v>
      </c>
      <c r="H316" s="9">
        <v>1</v>
      </c>
      <c r="I316" s="9">
        <v>-1</v>
      </c>
      <c r="J316" s="9">
        <v>3</v>
      </c>
      <c r="K316" s="1"/>
      <c r="T316" s="1"/>
      <c r="U316" s="1"/>
      <c r="V316" s="1"/>
    </row>
    <row r="317" spans="1:27" ht="24" customHeight="1">
      <c r="C317" t="s">
        <v>115</v>
      </c>
      <c r="E317" s="1"/>
      <c r="F317" s="1" t="s">
        <v>110</v>
      </c>
      <c r="G317" s="39" t="s">
        <v>111</v>
      </c>
      <c r="H317" s="39" t="s">
        <v>112</v>
      </c>
      <c r="I317" s="39" t="s">
        <v>113</v>
      </c>
      <c r="J317" s="39" t="s">
        <v>114</v>
      </c>
      <c r="K317" s="1"/>
      <c r="N317" t="s">
        <v>116</v>
      </c>
      <c r="S317" t="s">
        <v>117</v>
      </c>
      <c r="X317" t="s">
        <v>118</v>
      </c>
    </row>
    <row r="318" spans="1:27" ht="24" customHeight="1">
      <c r="C318" s="34">
        <v>0</v>
      </c>
      <c r="D318" s="34">
        <v>1</v>
      </c>
      <c r="E318" s="2">
        <v>1</v>
      </c>
      <c r="F318" s="1"/>
      <c r="G318" s="37" cm="1">
        <f t="array" ref="G318:J319">MMULT(C318:E319,G314:J316)</f>
        <v>3</v>
      </c>
      <c r="H318" s="37">
        <v>1</v>
      </c>
      <c r="I318" s="37">
        <v>2</v>
      </c>
      <c r="J318" s="37">
        <v>4</v>
      </c>
      <c r="K318" s="1"/>
      <c r="N318" s="39" t="s">
        <v>119</v>
      </c>
      <c r="O318" s="35" cm="1">
        <f t="array" ref="O318:P321">TRANSPOSE(_xlfn.ANCHORARRAY(G321))</f>
        <v>3</v>
      </c>
      <c r="P318" s="36">
        <v>2</v>
      </c>
      <c r="S318" s="10" cm="1">
        <f t="array" ref="S318:V321">MMULT(_xlfn.ANCHORARRAY(O318),_xlfn.ANCHORARRAY(S314))/SQRT(2)</f>
        <v>9.1923881554251174</v>
      </c>
      <c r="T318" s="10">
        <v>6.3639610306789276</v>
      </c>
      <c r="U318" s="10">
        <v>4.2426406871192848</v>
      </c>
      <c r="V318" s="10">
        <v>12.727922061357855</v>
      </c>
      <c r="X318" s="10" cm="1">
        <f t="array" ref="X318:X321">EXP(S318:S321)/SUM(EXP(S318:S321))</f>
        <v>2.8264939029946215E-2</v>
      </c>
      <c r="Y318" s="10" cm="1">
        <f t="array" ref="Y318:Y321">EXP(T318:T321)/SUM(EXP(T318:T321))</f>
        <v>5.0115192631476228E-2</v>
      </c>
      <c r="Z318" s="10" cm="1">
        <f t="array" ref="Z318:Z321">EXP(U318:U321)/SUM(EXP(U318:U321))</f>
        <v>0.18465608191429309</v>
      </c>
      <c r="AA318" s="10" cm="1">
        <f t="array" ref="AA318:AA321">EXP(V318:V321)/SUM(EXP(V318:V321))</f>
        <v>7.0338668836951845E-3</v>
      </c>
    </row>
    <row r="319" spans="1:27" ht="24" customHeight="1">
      <c r="C319" s="34">
        <v>1</v>
      </c>
      <c r="D319" s="34">
        <v>0</v>
      </c>
      <c r="E319" s="2">
        <v>1</v>
      </c>
      <c r="F319" s="1"/>
      <c r="G319" s="38">
        <v>2</v>
      </c>
      <c r="H319" s="38">
        <v>3</v>
      </c>
      <c r="I319" s="38">
        <v>0</v>
      </c>
      <c r="J319" s="38">
        <v>3</v>
      </c>
      <c r="K319" s="1"/>
      <c r="N319" s="39" t="s">
        <v>120</v>
      </c>
      <c r="O319" s="35">
        <v>1</v>
      </c>
      <c r="P319" s="36">
        <v>3</v>
      </c>
      <c r="S319" s="11">
        <v>6.3639610306789276</v>
      </c>
      <c r="T319" s="11">
        <v>7.0710678118654746</v>
      </c>
      <c r="U319" s="11">
        <v>1.4142135623730949</v>
      </c>
      <c r="V319" s="11">
        <v>9.1923881554251174</v>
      </c>
      <c r="X319" s="11">
        <v>1.6706203228931469E-3</v>
      </c>
      <c r="Y319" s="11">
        <v>0.10163937298404591</v>
      </c>
      <c r="Z319" s="11">
        <v>1.0914235578750039E-2</v>
      </c>
      <c r="AA319" s="11">
        <v>2.0498934091030187E-4</v>
      </c>
    </row>
    <row r="320" spans="1:27" ht="24" customHeight="1">
      <c r="C320" t="s">
        <v>121</v>
      </c>
      <c r="E320" s="1"/>
      <c r="F320" s="1" t="s">
        <v>122</v>
      </c>
      <c r="G320" s="39" t="s">
        <v>119</v>
      </c>
      <c r="H320" s="39" t="s">
        <v>120</v>
      </c>
      <c r="I320" s="39" t="s">
        <v>123</v>
      </c>
      <c r="J320" s="39" t="s">
        <v>124</v>
      </c>
      <c r="K320" s="1"/>
      <c r="N320" s="39" t="s">
        <v>123</v>
      </c>
      <c r="O320" s="35">
        <v>2</v>
      </c>
      <c r="P320" s="36">
        <v>0</v>
      </c>
      <c r="S320" s="11">
        <v>4.2426406871192848</v>
      </c>
      <c r="T320" s="11">
        <v>1.4142135623730949</v>
      </c>
      <c r="U320" s="11">
        <v>2.8284271247461898</v>
      </c>
      <c r="V320" s="11">
        <v>5.6568542494923797</v>
      </c>
      <c r="X320" s="11">
        <v>2.0026268779459782E-4</v>
      </c>
      <c r="Y320" s="11">
        <v>3.5507605960480814E-4</v>
      </c>
      <c r="Z320" s="11">
        <v>4.4892983628419703E-2</v>
      </c>
      <c r="AA320" s="11">
        <v>5.9740439478952412E-6</v>
      </c>
    </row>
    <row r="321" spans="1:27" ht="24" customHeight="1">
      <c r="C321" s="34">
        <v>0</v>
      </c>
      <c r="D321" s="34">
        <v>1</v>
      </c>
      <c r="E321" s="2">
        <v>1</v>
      </c>
      <c r="F321" s="1"/>
      <c r="G321" s="37" cm="1">
        <f t="array" ref="G321:J322">MMULT(C321:E322,G314:J316)</f>
        <v>3</v>
      </c>
      <c r="H321" s="37">
        <v>1</v>
      </c>
      <c r="I321" s="37">
        <v>2</v>
      </c>
      <c r="J321" s="37">
        <v>4</v>
      </c>
      <c r="K321" s="1"/>
      <c r="N321" s="39" t="s">
        <v>124</v>
      </c>
      <c r="O321" s="35">
        <v>4</v>
      </c>
      <c r="P321" s="36">
        <v>3</v>
      </c>
      <c r="S321" s="12">
        <v>12.727922061357855</v>
      </c>
      <c r="T321" s="12">
        <v>9.1923881554251174</v>
      </c>
      <c r="U321" s="12">
        <v>5.6568542494923797</v>
      </c>
      <c r="V321" s="12">
        <v>17.677669529663685</v>
      </c>
      <c r="X321" s="12">
        <v>0.96986417795936597</v>
      </c>
      <c r="Y321" s="12">
        <v>0.84789035832487303</v>
      </c>
      <c r="Z321" s="12">
        <v>0.75953669887853725</v>
      </c>
      <c r="AA321" s="12">
        <v>0.99275516973144673</v>
      </c>
    </row>
    <row r="322" spans="1:27" ht="24" customHeight="1">
      <c r="C322" s="34">
        <v>1</v>
      </c>
      <c r="D322" s="34">
        <v>0</v>
      </c>
      <c r="E322" s="2">
        <v>1</v>
      </c>
      <c r="F322" s="1"/>
      <c r="G322" s="38">
        <v>2</v>
      </c>
      <c r="H322" s="38">
        <v>3</v>
      </c>
      <c r="I322" s="38">
        <v>0</v>
      </c>
      <c r="J322" s="38">
        <v>3</v>
      </c>
      <c r="K322" s="1"/>
    </row>
    <row r="323" spans="1:27" ht="24" customHeight="1">
      <c r="C323" t="s">
        <v>125</v>
      </c>
      <c r="E323" s="1"/>
      <c r="F323" s="1" t="s">
        <v>126</v>
      </c>
      <c r="G323" s="1" t="s">
        <v>127</v>
      </c>
      <c r="H323" s="1" t="s">
        <v>128</v>
      </c>
      <c r="I323" s="1" t="s">
        <v>129</v>
      </c>
      <c r="J323" s="1" t="s">
        <v>130</v>
      </c>
      <c r="K323" s="1"/>
      <c r="N323" s="1" t="s">
        <v>126</v>
      </c>
      <c r="O323" s="1" t="s">
        <v>127</v>
      </c>
      <c r="P323" s="1" t="s">
        <v>128</v>
      </c>
      <c r="Q323" s="1" t="s">
        <v>129</v>
      </c>
      <c r="R323" s="1" t="s">
        <v>130</v>
      </c>
      <c r="X323" t="s">
        <v>131</v>
      </c>
    </row>
    <row r="324" spans="1:27" ht="24" customHeight="1">
      <c r="C324" s="34">
        <v>0</v>
      </c>
      <c r="D324" s="34">
        <v>1</v>
      </c>
      <c r="E324" s="2">
        <v>-1</v>
      </c>
      <c r="F324" s="1"/>
      <c r="G324" s="10" cm="1">
        <f t="array" ref="G324:J326">MMULT(C324:E326,G314:J316)</f>
        <v>1</v>
      </c>
      <c r="H324" s="10">
        <v>-1</v>
      </c>
      <c r="I324" s="10">
        <v>4</v>
      </c>
      <c r="J324" s="10">
        <v>-2</v>
      </c>
      <c r="K324" s="1"/>
      <c r="O324" s="10" cm="1">
        <f t="array" ref="O324:R326">_xlfn.ANCHORARRAY(G324)</f>
        <v>1</v>
      </c>
      <c r="P324" s="10">
        <v>-1</v>
      </c>
      <c r="Q324" s="10">
        <v>4</v>
      </c>
      <c r="R324" s="10">
        <v>-2</v>
      </c>
      <c r="X324" s="30" cm="1">
        <f t="array" ref="X324:AA326">MMULT(O324:R326,X318:AA321)</f>
        <v>-1.9123329864605005</v>
      </c>
      <c r="Y324" s="30">
        <v>-1.7458845927638964</v>
      </c>
      <c r="Z324" s="30">
        <v>-1.1657596169078528</v>
      </c>
      <c r="AA324" s="30">
        <v>-1.9786575657443171</v>
      </c>
    </row>
    <row r="325" spans="1:27" ht="24" customHeight="1">
      <c r="C325" s="34">
        <v>1</v>
      </c>
      <c r="D325" s="34">
        <v>-1</v>
      </c>
      <c r="E325" s="2">
        <v>0</v>
      </c>
      <c r="F325" s="1"/>
      <c r="G325" s="11">
        <v>-1</v>
      </c>
      <c r="H325" s="11">
        <v>2</v>
      </c>
      <c r="I325" s="11">
        <v>-2</v>
      </c>
      <c r="J325" s="11">
        <v>-1</v>
      </c>
      <c r="K325" s="1"/>
      <c r="O325" s="11">
        <v>-1</v>
      </c>
      <c r="P325" s="11">
        <v>2</v>
      </c>
      <c r="Q325" s="11">
        <v>-2</v>
      </c>
      <c r="R325" s="11">
        <v>-1</v>
      </c>
      <c r="X325" s="31">
        <v>-0.99518840171911505</v>
      </c>
      <c r="Y325" s="31">
        <v>-0.695436957107467</v>
      </c>
      <c r="Z325" s="31">
        <v>-1.0121502768921697</v>
      </c>
      <c r="AA325" s="31">
        <v>-0.99939100602121711</v>
      </c>
    </row>
    <row r="326" spans="1:27" ht="24" customHeight="1">
      <c r="C326" s="34">
        <v>1</v>
      </c>
      <c r="D326" s="34">
        <v>0</v>
      </c>
      <c r="E326" s="2">
        <v>-1</v>
      </c>
      <c r="F326" s="1"/>
      <c r="G326" s="12">
        <v>0</v>
      </c>
      <c r="H326" s="12">
        <v>1</v>
      </c>
      <c r="I326" s="12">
        <v>2</v>
      </c>
      <c r="J326" s="12">
        <v>-3</v>
      </c>
      <c r="K326" s="1"/>
      <c r="O326" s="12">
        <v>0</v>
      </c>
      <c r="P326" s="12">
        <v>1</v>
      </c>
      <c r="Q326" s="12">
        <v>2</v>
      </c>
      <c r="R326" s="12">
        <v>-3</v>
      </c>
      <c r="X326" s="32">
        <v>-2.9075213881796156</v>
      </c>
      <c r="Y326" s="32">
        <v>-2.4413215498713638</v>
      </c>
      <c r="Z326" s="32">
        <v>-2.1779098938000225</v>
      </c>
      <c r="AA326" s="32">
        <v>-2.9780485717655343</v>
      </c>
    </row>
    <row r="327" spans="1:27" ht="24" customHeight="1">
      <c r="E327" s="1"/>
      <c r="F327" s="1"/>
      <c r="H327" s="1"/>
      <c r="I327" s="1"/>
      <c r="J327" s="1"/>
      <c r="X327" s="1" t="s">
        <v>17</v>
      </c>
      <c r="Y327" s="1" t="s">
        <v>18</v>
      </c>
      <c r="Z327" s="1" t="s">
        <v>19</v>
      </c>
      <c r="AA327" s="1" t="s">
        <v>20</v>
      </c>
    </row>
    <row r="329" spans="1:27" s="51" customFormat="1" ht="24" customHeight="1"/>
    <row r="330" spans="1:27" ht="24" customHeight="1">
      <c r="C330" s="1">
        <v>1</v>
      </c>
      <c r="D330" s="1">
        <v>2</v>
      </c>
      <c r="E330" s="1">
        <v>3</v>
      </c>
      <c r="F330" s="1">
        <v>4</v>
      </c>
      <c r="G330" s="1">
        <v>5</v>
      </c>
      <c r="H330" s="1">
        <v>6</v>
      </c>
      <c r="I330" s="1">
        <v>7</v>
      </c>
      <c r="J330" s="1">
        <v>8</v>
      </c>
      <c r="K330" s="1">
        <v>9</v>
      </c>
      <c r="L330" s="1">
        <v>10</v>
      </c>
    </row>
    <row r="331" spans="1:27" ht="24" customHeight="1">
      <c r="A331" s="50" t="s">
        <v>1</v>
      </c>
      <c r="B331" s="50"/>
      <c r="C331" s="49">
        <f>J318</f>
        <v>4</v>
      </c>
      <c r="D331" s="49">
        <f>H322</f>
        <v>3</v>
      </c>
      <c r="E331" s="49">
        <f>I325</f>
        <v>-2</v>
      </c>
      <c r="F331" s="49">
        <f>Q325</f>
        <v>-2</v>
      </c>
      <c r="G331" s="49">
        <f>P319</f>
        <v>3</v>
      </c>
      <c r="H331" s="49">
        <f>T314</f>
        <v>1</v>
      </c>
      <c r="I331" s="49">
        <f>V320</f>
        <v>5.6568542494923797</v>
      </c>
      <c r="J331" s="49">
        <f>Z325</f>
        <v>-1.0121502768921697</v>
      </c>
      <c r="K331" s="49">
        <f>Z318</f>
        <v>0.18465608191429309</v>
      </c>
      <c r="L331" s="49">
        <f>Y319</f>
        <v>0.10163937298404591</v>
      </c>
    </row>
    <row r="332" spans="1:27" ht="24" customHeight="1">
      <c r="A332" s="50" t="s">
        <v>2</v>
      </c>
      <c r="B332" s="50"/>
      <c r="C332" s="49">
        <v>4</v>
      </c>
      <c r="D332" s="49">
        <v>3</v>
      </c>
      <c r="E332" s="49">
        <v>-2</v>
      </c>
      <c r="F332" s="49">
        <v>-2</v>
      </c>
      <c r="G332" s="49">
        <v>3</v>
      </c>
      <c r="H332" s="49">
        <v>1</v>
      </c>
      <c r="I332" s="49">
        <v>5.6568542494923797</v>
      </c>
      <c r="J332" s="49">
        <v>-1.0121502768921697</v>
      </c>
      <c r="K332" s="49">
        <v>0.18465608191429309</v>
      </c>
      <c r="L332" s="49">
        <v>0.10163937298404591</v>
      </c>
    </row>
    <row r="333" spans="1:27" ht="24" customHeight="1">
      <c r="A333" s="50" t="s">
        <v>3</v>
      </c>
      <c r="C333" s="49" t="str">
        <f>IF(C331=C332,"Y","N")</f>
        <v>Y</v>
      </c>
      <c r="D333" s="49" t="str">
        <f t="shared" ref="D333:L333" si="37">IF(D331=D332,"Y","N")</f>
        <v>Y</v>
      </c>
      <c r="E333" s="49" t="str">
        <f t="shared" si="37"/>
        <v>Y</v>
      </c>
      <c r="F333" s="49" t="str">
        <f t="shared" si="37"/>
        <v>Y</v>
      </c>
      <c r="G333" s="49" t="str">
        <f t="shared" si="37"/>
        <v>Y</v>
      </c>
      <c r="H333" s="49" t="str">
        <f t="shared" si="37"/>
        <v>Y</v>
      </c>
      <c r="I333" s="49" t="str">
        <f t="shared" si="37"/>
        <v>Y</v>
      </c>
      <c r="J333" s="49" t="str">
        <f t="shared" si="37"/>
        <v>Y</v>
      </c>
      <c r="K333" s="49" t="str">
        <f t="shared" si="37"/>
        <v>Y</v>
      </c>
      <c r="L333" s="49" t="str">
        <f t="shared" si="37"/>
        <v>Y</v>
      </c>
    </row>
    <row r="340" spans="1:16" s="142" customFormat="1" ht="32.1">
      <c r="A340" s="142" t="s">
        <v>132</v>
      </c>
    </row>
    <row r="345" spans="1:16" ht="24" customHeight="1">
      <c r="K345" s="27">
        <v>1.2953155353966199</v>
      </c>
      <c r="L345" s="27">
        <v>1.2953155353966199</v>
      </c>
      <c r="M345" s="27">
        <v>1</v>
      </c>
      <c r="N345" s="27">
        <v>1.1962841671185438</v>
      </c>
      <c r="O345" s="27">
        <v>0.82193218838275417</v>
      </c>
      <c r="P345" s="27">
        <v>1.2953155353966199</v>
      </c>
    </row>
    <row r="346" spans="1:16" ht="24" customHeight="1">
      <c r="K346" s="29">
        <v>-0.95844971070312401</v>
      </c>
      <c r="L346" s="29">
        <v>-0.95844971070312401</v>
      </c>
      <c r="M346" s="29">
        <v>-0.40111209267978593</v>
      </c>
      <c r="N346" s="29">
        <v>-0.81173005130679043</v>
      </c>
      <c r="O346" s="29">
        <v>0.42481630295866324</v>
      </c>
      <c r="P346" s="29">
        <v>-0.95844971070312401</v>
      </c>
    </row>
    <row r="347" spans="1:16" ht="24" customHeight="1">
      <c r="K347" s="28">
        <v>0.33686582469349596</v>
      </c>
      <c r="L347" s="28">
        <v>0.33686582469349596</v>
      </c>
      <c r="M347" s="28">
        <v>0.59888790732021402</v>
      </c>
      <c r="N347" s="28">
        <v>0.38455411581175353</v>
      </c>
      <c r="O347" s="28">
        <v>1.2467484913414173</v>
      </c>
      <c r="P347" s="28">
        <v>0.33686582469349596</v>
      </c>
    </row>
    <row r="348" spans="1:16" ht="24" customHeight="1"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</row>
    <row r="349" spans="1:16" ht="24" customHeight="1">
      <c r="F349" s="1" t="s">
        <v>102</v>
      </c>
      <c r="G349" s="1"/>
      <c r="H349" s="1"/>
      <c r="I349" s="1" t="s">
        <v>63</v>
      </c>
      <c r="J349" s="1"/>
      <c r="K349" s="1"/>
      <c r="M349" s="1"/>
      <c r="N349" s="1"/>
    </row>
    <row r="350" spans="1:16" ht="24" customHeight="1">
      <c r="F350" s="2">
        <v>1</v>
      </c>
      <c r="G350" s="2">
        <v>-1</v>
      </c>
      <c r="H350" s="2">
        <v>1</v>
      </c>
      <c r="I350" s="13">
        <v>1</v>
      </c>
      <c r="J350" s="1"/>
      <c r="K350" s="10" cm="1">
        <f t="array" ref="K350:P353">MMULT(F350:I353,K345:P348)</f>
        <v>3.5906310707932398</v>
      </c>
      <c r="L350" s="10">
        <v>3.5906310707932398</v>
      </c>
      <c r="M350" s="10">
        <v>3</v>
      </c>
      <c r="N350" s="10">
        <v>3.3925683342370876</v>
      </c>
      <c r="O350" s="10">
        <v>2.6438643767655083</v>
      </c>
      <c r="P350" s="10">
        <v>3.5906310707932398</v>
      </c>
    </row>
    <row r="351" spans="1:16" ht="24" customHeight="1">
      <c r="F351" s="2">
        <v>1</v>
      </c>
      <c r="G351" s="2">
        <v>0</v>
      </c>
      <c r="H351" s="2">
        <v>2</v>
      </c>
      <c r="I351" s="13">
        <v>-3</v>
      </c>
      <c r="J351" s="1"/>
      <c r="K351" s="11">
        <v>-1.0309528152163883</v>
      </c>
      <c r="L351" s="11">
        <v>-1.0309528152163883</v>
      </c>
      <c r="M351" s="11">
        <v>-0.80222418535957196</v>
      </c>
      <c r="N351" s="11">
        <v>-1.034607601257949</v>
      </c>
      <c r="O351" s="11">
        <v>0.31542917106558876</v>
      </c>
      <c r="P351" s="11">
        <v>-1.0309528152163883</v>
      </c>
    </row>
    <row r="352" spans="1:16" ht="24" customHeight="1">
      <c r="F352" s="2">
        <v>1</v>
      </c>
      <c r="G352" s="2">
        <v>0</v>
      </c>
      <c r="H352" s="2">
        <v>1</v>
      </c>
      <c r="I352" s="13">
        <v>2</v>
      </c>
      <c r="J352" s="1"/>
      <c r="K352" s="11">
        <v>3.6321813600901161</v>
      </c>
      <c r="L352" s="11">
        <v>3.6321813600901161</v>
      </c>
      <c r="M352" s="11">
        <v>3.598887907320214</v>
      </c>
      <c r="N352" s="11">
        <v>3.5808382829302974</v>
      </c>
      <c r="O352" s="11">
        <v>4.0686806797241717</v>
      </c>
      <c r="P352" s="11">
        <v>3.6321813600901161</v>
      </c>
    </row>
    <row r="353" spans="5:16" ht="24" customHeight="1">
      <c r="F353" s="2">
        <v>0</v>
      </c>
      <c r="G353" s="2">
        <v>0</v>
      </c>
      <c r="H353" s="2">
        <v>-1</v>
      </c>
      <c r="I353" s="13">
        <v>0</v>
      </c>
      <c r="J353" s="1"/>
      <c r="K353" s="12">
        <v>-0.33686582469349596</v>
      </c>
      <c r="L353" s="12">
        <v>-0.33686582469349596</v>
      </c>
      <c r="M353" s="12">
        <v>-0.59888790732021402</v>
      </c>
      <c r="N353" s="12">
        <v>-0.38455411581175353</v>
      </c>
      <c r="O353" s="12">
        <v>-1.2467484913414173</v>
      </c>
      <c r="P353" s="12">
        <v>-0.33686582469349596</v>
      </c>
    </row>
    <row r="354" spans="5:16" ht="24" customHeight="1">
      <c r="E354" s="1"/>
      <c r="F354" s="1"/>
      <c r="G354" s="1"/>
      <c r="H354" s="1"/>
      <c r="I354" s="1"/>
      <c r="J354" s="1"/>
      <c r="K354" s="1"/>
      <c r="M354" s="1"/>
      <c r="N354" s="1"/>
    </row>
    <row r="355" spans="5:16" ht="24" customHeight="1">
      <c r="E355" s="1"/>
      <c r="F355" s="1"/>
      <c r="G355" t="s">
        <v>93</v>
      </c>
      <c r="H355" s="1"/>
      <c r="I355" s="1"/>
      <c r="J355" s="1"/>
      <c r="K355" s="10" cm="1">
        <f t="array" ref="K355:P358">_xlfn.MAP(_xlfn.ANCHORARRAY(K350),_xlfn.LAMBDA(_xlpm.x, MAX(_xlpm.x,0)))</f>
        <v>3.5906310707932398</v>
      </c>
      <c r="L355" s="10">
        <v>3.5906310707932398</v>
      </c>
      <c r="M355" s="10">
        <v>3</v>
      </c>
      <c r="N355" s="10">
        <v>3.3925683342370876</v>
      </c>
      <c r="O355" s="10">
        <v>2.6438643767655083</v>
      </c>
      <c r="P355" s="10">
        <v>3.5906310707932398</v>
      </c>
    </row>
    <row r="356" spans="5:16" ht="24" customHeight="1">
      <c r="E356" s="1"/>
      <c r="F356" s="1"/>
      <c r="G356" s="1"/>
      <c r="H356" s="1"/>
      <c r="I356" s="1"/>
      <c r="J356" s="1"/>
      <c r="K356" s="11">
        <v>0</v>
      </c>
      <c r="L356" s="11">
        <v>0</v>
      </c>
      <c r="M356" s="11">
        <v>0</v>
      </c>
      <c r="N356" s="11">
        <v>0</v>
      </c>
      <c r="O356" s="11">
        <v>0.31542917106558876</v>
      </c>
      <c r="P356" s="11">
        <v>0</v>
      </c>
    </row>
    <row r="357" spans="5:16" ht="24" customHeight="1">
      <c r="E357" s="1"/>
      <c r="F357" s="1"/>
      <c r="G357" s="1"/>
      <c r="H357" s="1"/>
      <c r="I357" s="1"/>
      <c r="J357" s="1"/>
      <c r="K357" s="11">
        <v>3.6321813600901161</v>
      </c>
      <c r="L357" s="11">
        <v>3.6321813600901161</v>
      </c>
      <c r="M357" s="11">
        <v>3.598887907320214</v>
      </c>
      <c r="N357" s="11">
        <v>3.5808382829302974</v>
      </c>
      <c r="O357" s="11">
        <v>4.0686806797241717</v>
      </c>
      <c r="P357" s="11">
        <v>3.6321813600901161</v>
      </c>
    </row>
    <row r="358" spans="5:16" ht="24" customHeight="1">
      <c r="E358" s="1"/>
      <c r="F358" s="1"/>
      <c r="G358" s="1"/>
      <c r="H358" s="1"/>
      <c r="I358" s="1"/>
      <c r="J358" s="1"/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</row>
    <row r="359" spans="5:16" ht="24" customHeight="1">
      <c r="E359" s="3" t="s">
        <v>101</v>
      </c>
      <c r="F359" s="1"/>
      <c r="G359" s="1"/>
      <c r="H359" s="1"/>
      <c r="I359" s="1"/>
      <c r="J359" s="1"/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</row>
    <row r="360" spans="5:16" ht="24" customHeight="1">
      <c r="E360" s="1" t="s">
        <v>102</v>
      </c>
      <c r="F360" s="1"/>
      <c r="G360" s="1"/>
      <c r="H360" s="1"/>
      <c r="I360" s="1" t="s">
        <v>63</v>
      </c>
      <c r="J360" s="3"/>
      <c r="K360" s="1"/>
      <c r="M360" s="3"/>
      <c r="N360" s="1"/>
      <c r="O360" s="1"/>
      <c r="P360" s="1"/>
    </row>
    <row r="361" spans="5:16" ht="24" customHeight="1">
      <c r="E361" s="2">
        <v>1</v>
      </c>
      <c r="F361" s="2">
        <v>-1</v>
      </c>
      <c r="G361" s="2">
        <v>0</v>
      </c>
      <c r="H361" s="2">
        <v>0</v>
      </c>
      <c r="I361" s="13">
        <v>0</v>
      </c>
      <c r="K361" s="10" cm="1">
        <f t="array" ref="K361:P363">MMULT($E361:$I363,K355:P359)</f>
        <v>3.5906310707932398</v>
      </c>
      <c r="L361" s="10">
        <v>3.5906310707932398</v>
      </c>
      <c r="M361" s="10">
        <v>3</v>
      </c>
      <c r="N361" s="10">
        <v>3.3925683342370876</v>
      </c>
      <c r="O361" s="10">
        <v>2.3284352056999196</v>
      </c>
      <c r="P361" s="10">
        <v>3.5906310707932398</v>
      </c>
    </row>
    <row r="362" spans="5:16" ht="24" customHeight="1">
      <c r="E362" s="2">
        <v>0</v>
      </c>
      <c r="F362" s="2">
        <v>1</v>
      </c>
      <c r="G362" s="2">
        <v>0</v>
      </c>
      <c r="H362" s="2">
        <v>1</v>
      </c>
      <c r="I362" s="13">
        <v>5</v>
      </c>
      <c r="K362" s="11">
        <v>5</v>
      </c>
      <c r="L362" s="11">
        <v>5</v>
      </c>
      <c r="M362" s="11">
        <v>5</v>
      </c>
      <c r="N362" s="11">
        <v>5</v>
      </c>
      <c r="O362" s="11">
        <v>5.3154291710655883</v>
      </c>
      <c r="P362" s="11">
        <v>5</v>
      </c>
    </row>
    <row r="363" spans="5:16" ht="24" customHeight="1">
      <c r="E363" s="2">
        <v>0</v>
      </c>
      <c r="F363" s="2">
        <v>0</v>
      </c>
      <c r="G363" s="2">
        <v>1</v>
      </c>
      <c r="H363" s="2">
        <v>-1</v>
      </c>
      <c r="I363" s="13">
        <v>-3</v>
      </c>
      <c r="K363" s="12">
        <v>0.63218136009011605</v>
      </c>
      <c r="L363" s="12">
        <v>0.63218136009011605</v>
      </c>
      <c r="M363" s="12">
        <v>0.59888790732021402</v>
      </c>
      <c r="N363" s="12">
        <v>0.58083828293029738</v>
      </c>
      <c r="O363" s="12">
        <v>1.0686806797241717</v>
      </c>
      <c r="P363" s="12">
        <v>0.63218136009011605</v>
      </c>
    </row>
    <row r="365" spans="5:16" ht="24" customHeight="1">
      <c r="G365" t="s">
        <v>93</v>
      </c>
      <c r="K365" s="10" cm="1">
        <f t="array" ref="K365:P367">_xlfn.MAP(_xlfn.ANCHORARRAY(K361),_xlfn.LAMBDA(_xlpm.x, MAX(_xlpm.x,0)))</f>
        <v>3.5906310707932398</v>
      </c>
      <c r="L365" s="10">
        <v>3.5906310707932398</v>
      </c>
      <c r="M365" s="10">
        <v>3</v>
      </c>
      <c r="N365" s="10">
        <v>3.3925683342370876</v>
      </c>
      <c r="O365" s="10">
        <v>2.3284352056999196</v>
      </c>
      <c r="P365" s="10">
        <v>3.5906310707932398</v>
      </c>
    </row>
    <row r="366" spans="5:16" ht="24" customHeight="1">
      <c r="K366" s="11">
        <v>5</v>
      </c>
      <c r="L366" s="11">
        <v>5</v>
      </c>
      <c r="M366" s="11">
        <v>5</v>
      </c>
      <c r="N366" s="11">
        <v>5</v>
      </c>
      <c r="O366" s="11">
        <v>5.3154291710655883</v>
      </c>
      <c r="P366" s="11">
        <v>5</v>
      </c>
    </row>
    <row r="367" spans="5:16" ht="24" customHeight="1">
      <c r="J367" s="26"/>
      <c r="K367" s="12">
        <v>0.63218136009011605</v>
      </c>
      <c r="L367" s="12">
        <v>0.63218136009011605</v>
      </c>
      <c r="M367" s="12">
        <v>0.59888790732021402</v>
      </c>
      <c r="N367" s="12">
        <v>0.58083828293029738</v>
      </c>
      <c r="O367" s="12">
        <v>1.0686806797241717</v>
      </c>
      <c r="P367" s="12">
        <v>0.63218136009011605</v>
      </c>
    </row>
    <row r="370" spans="1:34" s="51" customFormat="1" ht="24" customHeight="1"/>
    <row r="371" spans="1:34" ht="24" customHeight="1">
      <c r="C371" s="1">
        <v>1</v>
      </c>
      <c r="D371" s="1">
        <v>2</v>
      </c>
      <c r="E371" s="1">
        <v>3</v>
      </c>
      <c r="F371" s="1">
        <v>4</v>
      </c>
      <c r="G371" s="1">
        <v>5</v>
      </c>
    </row>
    <row r="372" spans="1:34" ht="24" customHeight="1">
      <c r="A372" s="50" t="s">
        <v>1</v>
      </c>
      <c r="B372" s="50"/>
      <c r="C372" s="49">
        <f>L351</f>
        <v>-1.0309528152163883</v>
      </c>
      <c r="D372" s="49">
        <f>N356</f>
        <v>0</v>
      </c>
      <c r="E372" s="49">
        <f>P362</f>
        <v>5</v>
      </c>
      <c r="F372" s="49">
        <f>L366</f>
        <v>5</v>
      </c>
      <c r="G372" s="49">
        <f>P367</f>
        <v>0.63218136009011605</v>
      </c>
    </row>
    <row r="373" spans="1:34" ht="24" customHeight="1">
      <c r="A373" s="50" t="s">
        <v>2</v>
      </c>
      <c r="B373" s="50"/>
      <c r="C373" s="49">
        <v>-1.0309528152163883</v>
      </c>
      <c r="D373" s="49">
        <v>0</v>
      </c>
      <c r="E373" s="49">
        <v>5</v>
      </c>
      <c r="F373" s="49">
        <v>5</v>
      </c>
      <c r="G373" s="49">
        <v>0.63218136009011605</v>
      </c>
    </row>
    <row r="374" spans="1:34" ht="24" customHeight="1">
      <c r="A374" s="50" t="s">
        <v>3</v>
      </c>
      <c r="C374" s="49" t="str">
        <f>IF(C372=C373,"Y","N")</f>
        <v>Y</v>
      </c>
      <c r="D374" s="49" t="str">
        <f>IF(D372=D373,"Y","N")</f>
        <v>Y</v>
      </c>
      <c r="E374" s="49" t="str">
        <f>IF(E372=E373,"Y","N")</f>
        <v>Y</v>
      </c>
      <c r="F374" s="49" t="str">
        <f>IF(F372=F373,"Y","N")</f>
        <v>Y</v>
      </c>
      <c r="G374" s="49" t="str">
        <f>IF(G372=G373,"Y","N")</f>
        <v>Y</v>
      </c>
    </row>
    <row r="381" spans="1:34" s="142" customFormat="1" ht="32.1">
      <c r="A381" s="142" t="s">
        <v>133</v>
      </c>
    </row>
    <row r="383" spans="1:34" ht="24" customHeight="1">
      <c r="Z383" s="111">
        <v>1.1764705882352941E-2</v>
      </c>
      <c r="AA383" s="111">
        <v>4.3137254901960784E-2</v>
      </c>
      <c r="AB383" s="111">
        <v>0.62352941176470589</v>
      </c>
      <c r="AC383" s="111">
        <v>0.61568627450980395</v>
      </c>
      <c r="AD383" s="111">
        <v>0.61960784313725492</v>
      </c>
      <c r="AE383" s="111">
        <v>0.61960784313725492</v>
      </c>
      <c r="AF383" s="111">
        <v>0.7803921568627451</v>
      </c>
      <c r="AG383" s="111">
        <v>0</v>
      </c>
      <c r="AH383" s="111">
        <v>4.7058823529411764E-2</v>
      </c>
    </row>
    <row r="384" spans="1:34" ht="24" customHeight="1">
      <c r="Z384" s="111">
        <v>1.1764705882352941E-2</v>
      </c>
      <c r="AA384" s="111">
        <v>0.6</v>
      </c>
      <c r="AB384" s="111">
        <v>6.2745098039215685E-2</v>
      </c>
      <c r="AC384" s="111">
        <v>0.56862745098039214</v>
      </c>
      <c r="AD384" s="111">
        <v>3.1372549019607843E-2</v>
      </c>
      <c r="AE384" s="111">
        <v>0.5490196078431373</v>
      </c>
      <c r="AF384" s="111">
        <v>4.7058823529411764E-2</v>
      </c>
      <c r="AG384" s="111">
        <v>3.9215686274509803E-2</v>
      </c>
      <c r="AH384" s="111">
        <v>2.3529411764705882E-2</v>
      </c>
    </row>
    <row r="385" spans="24:34" ht="24" customHeight="1">
      <c r="Z385" s="111">
        <v>1.1764705882352941E-2</v>
      </c>
      <c r="AA385" s="111">
        <v>0.62745098039215685</v>
      </c>
      <c r="AB385" s="111">
        <v>0.5725490196078431</v>
      </c>
      <c r="AC385" s="111">
        <v>0.61568627450980395</v>
      </c>
      <c r="AD385" s="111">
        <v>0.62745098039215685</v>
      </c>
      <c r="AE385" s="111">
        <v>0.60392156862745094</v>
      </c>
      <c r="AF385" s="111">
        <v>0.7803921568627451</v>
      </c>
      <c r="AG385" s="111">
        <v>5.0980392156862744E-2</v>
      </c>
      <c r="AH385" s="111">
        <v>1.9607843137254902E-2</v>
      </c>
    </row>
    <row r="386" spans="24:34" ht="24" customHeight="1">
      <c r="Z386" s="111">
        <v>1.1764705882352941E-2</v>
      </c>
      <c r="AA386" s="111">
        <v>1.9607843137254902E-2</v>
      </c>
      <c r="AB386" s="111">
        <v>4.3137254901960784E-2</v>
      </c>
      <c r="AC386" s="111">
        <v>0.9137254901960784</v>
      </c>
      <c r="AD386" s="111">
        <v>0.92156862745098034</v>
      </c>
      <c r="AE386" s="111">
        <v>0.59215686274509804</v>
      </c>
      <c r="AF386" s="111">
        <v>0</v>
      </c>
      <c r="AG386" s="111">
        <v>4.7058823529411764E-2</v>
      </c>
      <c r="AH386" s="111">
        <v>6.6666666666666666E-2</v>
      </c>
    </row>
    <row r="387" spans="24:34" ht="24" customHeight="1">
      <c r="Z387" s="111">
        <v>1.1764705882352941E-2</v>
      </c>
      <c r="AA387" s="111">
        <v>1.5686274509803921E-2</v>
      </c>
      <c r="AB387" s="111">
        <v>0.57647058823529407</v>
      </c>
      <c r="AC387" s="111">
        <v>0.94509803921568625</v>
      </c>
      <c r="AD387" s="111">
        <v>0.9137254901960784</v>
      </c>
      <c r="AE387" s="111">
        <v>0.55294117647058827</v>
      </c>
      <c r="AF387" s="111">
        <v>0.74901960784313726</v>
      </c>
      <c r="AG387" s="111">
        <v>7.4509803921568626E-2</v>
      </c>
      <c r="AH387" s="111">
        <v>2.3529411764705882E-2</v>
      </c>
    </row>
    <row r="388" spans="24:34" ht="24" customHeight="1">
      <c r="Z388" s="111">
        <v>1.1764705882352941E-2</v>
      </c>
      <c r="AA388" s="111">
        <v>1.1764705882352941E-2</v>
      </c>
      <c r="AB388" s="111">
        <v>7.8431372549019607E-3</v>
      </c>
      <c r="AC388" s="111">
        <v>0.91764705882352937</v>
      </c>
      <c r="AD388" s="111">
        <v>0.90588235294117647</v>
      </c>
      <c r="AE388" s="111">
        <v>0.62745098039215685</v>
      </c>
      <c r="AF388" s="111">
        <v>5.4901960784313725E-2</v>
      </c>
      <c r="AG388" s="111">
        <v>1.1764705882352941E-2</v>
      </c>
      <c r="AH388" s="111">
        <v>0.61176470588235299</v>
      </c>
    </row>
    <row r="389" spans="24:34" ht="24" customHeight="1">
      <c r="Z389" s="111">
        <v>1.1764705882352941E-2</v>
      </c>
      <c r="AA389" s="111">
        <v>7.8431372549019607E-3</v>
      </c>
      <c r="AB389" s="111">
        <v>2.3529411764705882E-2</v>
      </c>
      <c r="AC389" s="111">
        <v>0.89411764705882357</v>
      </c>
      <c r="AD389" s="111">
        <v>0.90980392156862744</v>
      </c>
      <c r="AE389" s="111">
        <v>0.5725490196078431</v>
      </c>
      <c r="AF389" s="111">
        <v>0.5607843137254902</v>
      </c>
      <c r="AG389" s="111">
        <v>0.60784313725490191</v>
      </c>
      <c r="AH389" s="111">
        <v>2.3529411764705882E-2</v>
      </c>
    </row>
    <row r="390" spans="24:34" ht="24" customHeight="1">
      <c r="Z390" s="111">
        <v>1.1764705882352941E-2</v>
      </c>
      <c r="AA390" s="111">
        <v>6.2745098039215685E-2</v>
      </c>
      <c r="AB390" s="111">
        <v>5.8823529411764705E-2</v>
      </c>
      <c r="AC390" s="111">
        <v>0.56470588235294117</v>
      </c>
      <c r="AD390" s="111">
        <v>5.0980392156862744E-2</v>
      </c>
      <c r="AE390" s="111">
        <v>0.60392156862745094</v>
      </c>
      <c r="AF390" s="111">
        <v>5.8823529411764705E-2</v>
      </c>
      <c r="AG390" s="111">
        <v>6.6666666666666666E-2</v>
      </c>
      <c r="AH390" s="111">
        <v>1.1764705882352941E-2</v>
      </c>
    </row>
    <row r="391" spans="24:34" ht="24" customHeight="1">
      <c r="Z391" s="111">
        <v>1.1764705882352941E-2</v>
      </c>
      <c r="AA391" s="111">
        <v>6.2745098039215685E-2</v>
      </c>
      <c r="AB391" s="111">
        <v>6.2745098039215685E-2</v>
      </c>
      <c r="AC391" s="111">
        <v>6.2745098039215685E-2</v>
      </c>
      <c r="AD391" s="111">
        <v>6.2745098039215685E-2</v>
      </c>
      <c r="AE391" s="111">
        <v>6.2745098039215685E-2</v>
      </c>
      <c r="AF391" s="111">
        <v>6.2745098039215685E-2</v>
      </c>
      <c r="AG391" s="111">
        <v>6.2745098039215685E-2</v>
      </c>
      <c r="AH391" s="111">
        <v>6.2745098039215685E-2</v>
      </c>
    </row>
    <row r="393" spans="24:34" ht="24" customHeight="1">
      <c r="Z393" t="s">
        <v>134</v>
      </c>
    </row>
    <row r="394" spans="24:34" ht="24" customHeight="1">
      <c r="X394" t="s">
        <v>135</v>
      </c>
      <c r="Z394" s="37" cm="1">
        <f t="array" ref="Z394:AH402">IM2COL(Z383:AH391,3,3,0,0)</f>
        <v>1.1764705882352941E-2</v>
      </c>
      <c r="AA394" s="37">
        <v>0.61568627450980395</v>
      </c>
      <c r="AB394" s="37">
        <v>0.7803921568627451</v>
      </c>
      <c r="AC394" s="37">
        <v>1.1764705882352941E-2</v>
      </c>
      <c r="AD394" s="37">
        <v>0.9137254901960784</v>
      </c>
      <c r="AE394" s="37">
        <v>0</v>
      </c>
      <c r="AF394" s="37">
        <v>1.1764705882352941E-2</v>
      </c>
      <c r="AG394" s="37">
        <v>0.89411764705882357</v>
      </c>
      <c r="AH394" s="37">
        <v>0.5607843137254902</v>
      </c>
    </row>
    <row r="395" spans="24:34" ht="24" customHeight="1">
      <c r="Z395" s="87">
        <v>4.3137254901960784E-2</v>
      </c>
      <c r="AA395" s="87">
        <v>0.61960784313725492</v>
      </c>
      <c r="AB395" s="87">
        <v>0</v>
      </c>
      <c r="AC395" s="87">
        <v>1.9607843137254902E-2</v>
      </c>
      <c r="AD395" s="87">
        <v>0.92156862745098034</v>
      </c>
      <c r="AE395" s="87">
        <v>4.7058823529411764E-2</v>
      </c>
      <c r="AF395" s="87">
        <v>7.8431372549019607E-3</v>
      </c>
      <c r="AG395" s="87">
        <v>0.90980392156862744</v>
      </c>
      <c r="AH395" s="87">
        <v>0.60784313725490191</v>
      </c>
    </row>
    <row r="396" spans="24:34" ht="24" customHeight="1">
      <c r="Z396" s="87">
        <v>0.62352941176470589</v>
      </c>
      <c r="AA396" s="87">
        <v>0.61960784313725492</v>
      </c>
      <c r="AB396" s="87">
        <v>4.7058823529411764E-2</v>
      </c>
      <c r="AC396" s="87">
        <v>4.3137254901960784E-2</v>
      </c>
      <c r="AD396" s="87">
        <v>0.59215686274509804</v>
      </c>
      <c r="AE396" s="87">
        <v>6.6666666666666666E-2</v>
      </c>
      <c r="AF396" s="87">
        <v>2.3529411764705882E-2</v>
      </c>
      <c r="AG396" s="87">
        <v>0.5725490196078431</v>
      </c>
      <c r="AH396" s="87">
        <v>2.3529411764705882E-2</v>
      </c>
    </row>
    <row r="397" spans="24:34" ht="24" customHeight="1">
      <c r="Z397" s="87">
        <v>1.1764705882352941E-2</v>
      </c>
      <c r="AA397" s="87">
        <v>0.56862745098039214</v>
      </c>
      <c r="AB397" s="87">
        <v>4.7058823529411764E-2</v>
      </c>
      <c r="AC397" s="87">
        <v>1.1764705882352941E-2</v>
      </c>
      <c r="AD397" s="87">
        <v>0.94509803921568625</v>
      </c>
      <c r="AE397" s="87">
        <v>0.74901960784313726</v>
      </c>
      <c r="AF397" s="87">
        <v>1.1764705882352941E-2</v>
      </c>
      <c r="AG397" s="87">
        <v>0.56470588235294117</v>
      </c>
      <c r="AH397" s="87">
        <v>5.8823529411764705E-2</v>
      </c>
    </row>
    <row r="398" spans="24:34" ht="24" customHeight="1">
      <c r="Z398" s="87">
        <v>0.6</v>
      </c>
      <c r="AA398" s="87">
        <v>3.1372549019607843E-2</v>
      </c>
      <c r="AB398" s="87">
        <v>3.9215686274509803E-2</v>
      </c>
      <c r="AC398" s="87">
        <v>1.5686274509803921E-2</v>
      </c>
      <c r="AD398" s="87">
        <v>0.9137254901960784</v>
      </c>
      <c r="AE398" s="87">
        <v>7.4509803921568626E-2</v>
      </c>
      <c r="AF398" s="87">
        <v>6.2745098039215685E-2</v>
      </c>
      <c r="AG398" s="87">
        <v>5.0980392156862744E-2</v>
      </c>
      <c r="AH398" s="87">
        <v>6.6666666666666666E-2</v>
      </c>
    </row>
    <row r="399" spans="24:34" ht="24" customHeight="1">
      <c r="Z399" s="87">
        <v>6.2745098039215685E-2</v>
      </c>
      <c r="AA399" s="87">
        <v>0.5490196078431373</v>
      </c>
      <c r="AB399" s="87">
        <v>2.3529411764705882E-2</v>
      </c>
      <c r="AC399" s="87">
        <v>0.57647058823529407</v>
      </c>
      <c r="AD399" s="87">
        <v>0.55294117647058827</v>
      </c>
      <c r="AE399" s="87">
        <v>2.3529411764705882E-2</v>
      </c>
      <c r="AF399" s="87">
        <v>5.8823529411764705E-2</v>
      </c>
      <c r="AG399" s="87">
        <v>0.60392156862745094</v>
      </c>
      <c r="AH399" s="87">
        <v>1.1764705882352941E-2</v>
      </c>
    </row>
    <row r="400" spans="24:34" ht="24" customHeight="1">
      <c r="Z400" s="87">
        <v>1.1764705882352941E-2</v>
      </c>
      <c r="AA400" s="87">
        <v>0.61568627450980395</v>
      </c>
      <c r="AB400" s="87">
        <v>0.7803921568627451</v>
      </c>
      <c r="AC400" s="87">
        <v>1.1764705882352941E-2</v>
      </c>
      <c r="AD400" s="87">
        <v>0.91764705882352937</v>
      </c>
      <c r="AE400" s="87">
        <v>5.4901960784313725E-2</v>
      </c>
      <c r="AF400" s="87">
        <v>1.1764705882352941E-2</v>
      </c>
      <c r="AG400" s="87">
        <v>6.2745098039215685E-2</v>
      </c>
      <c r="AH400" s="87">
        <v>6.2745098039215685E-2</v>
      </c>
    </row>
    <row r="401" spans="14:34" ht="24" customHeight="1" thickBot="1">
      <c r="N401" t="s">
        <v>136</v>
      </c>
      <c r="Z401" s="87">
        <v>0.62745098039215685</v>
      </c>
      <c r="AA401" s="87">
        <v>0.62745098039215685</v>
      </c>
      <c r="AB401" s="87">
        <v>5.0980392156862744E-2</v>
      </c>
      <c r="AC401" s="87">
        <v>1.1764705882352941E-2</v>
      </c>
      <c r="AD401" s="87">
        <v>0.90588235294117647</v>
      </c>
      <c r="AE401" s="87">
        <v>1.1764705882352941E-2</v>
      </c>
      <c r="AF401" s="87">
        <v>6.2745098039215685E-2</v>
      </c>
      <c r="AG401" s="87">
        <v>6.2745098039215685E-2</v>
      </c>
      <c r="AH401" s="87">
        <v>6.2745098039215685E-2</v>
      </c>
    </row>
    <row r="402" spans="14:34" ht="24" customHeight="1" thickTop="1" thickBot="1">
      <c r="N402" s="112"/>
      <c r="Z402" s="38">
        <v>0.5725490196078431</v>
      </c>
      <c r="AA402" s="38">
        <v>0.60392156862745094</v>
      </c>
      <c r="AB402" s="38">
        <v>1.9607843137254902E-2</v>
      </c>
      <c r="AC402" s="38">
        <v>7.8431372549019607E-3</v>
      </c>
      <c r="AD402" s="38">
        <v>0.62745098039215685</v>
      </c>
      <c r="AE402" s="38">
        <v>0.61176470588235299</v>
      </c>
      <c r="AF402" s="38">
        <v>6.2745098039215685E-2</v>
      </c>
      <c r="AG402" s="38">
        <v>6.2745098039215685E-2</v>
      </c>
      <c r="AH402" s="38">
        <v>6.2745098039215685E-2</v>
      </c>
    </row>
    <row r="403" spans="14:34" ht="24" customHeight="1" thickTop="1"/>
    <row r="404" spans="14:34" ht="24" customHeight="1" thickBot="1">
      <c r="Z404" t="s">
        <v>137</v>
      </c>
    </row>
    <row r="405" spans="14:34" ht="24" customHeight="1" thickTop="1">
      <c r="N405" s="113">
        <v>1</v>
      </c>
      <c r="O405" s="114">
        <v>0</v>
      </c>
      <c r="P405" s="114">
        <v>1</v>
      </c>
      <c r="Q405" s="114">
        <v>-1</v>
      </c>
      <c r="R405" s="114">
        <v>-1</v>
      </c>
      <c r="S405" s="114">
        <v>1</v>
      </c>
      <c r="T405" s="114">
        <v>1</v>
      </c>
      <c r="U405" s="114">
        <v>0</v>
      </c>
      <c r="V405" s="115">
        <v>0</v>
      </c>
      <c r="Z405" s="116" cm="1">
        <f t="array" ref="Z405:AH409">MMULT(N405:V409,_xlfn.ANCHORARRAY(Z394))</f>
        <v>9.8039215686274536E-2</v>
      </c>
      <c r="AA405" s="116">
        <v>1.8000000000000003</v>
      </c>
      <c r="AB405" s="116">
        <v>1.5450980392156861</v>
      </c>
      <c r="AC405" s="116">
        <v>0.61568627450980384</v>
      </c>
      <c r="AD405" s="116">
        <v>1.1176470588235294</v>
      </c>
      <c r="AE405" s="116">
        <v>-0.67843137254901953</v>
      </c>
      <c r="AF405" s="116">
        <v>3.1372549019607843E-2</v>
      </c>
      <c r="AG405" s="116">
        <v>1.5176470588235296</v>
      </c>
      <c r="AH405" s="116">
        <v>0.53333333333333344</v>
      </c>
    </row>
    <row r="406" spans="14:34" ht="24" customHeight="1">
      <c r="N406" s="117">
        <v>0</v>
      </c>
      <c r="O406" s="1">
        <v>0</v>
      </c>
      <c r="P406" s="1">
        <v>0</v>
      </c>
      <c r="Q406" s="1">
        <v>1</v>
      </c>
      <c r="R406" s="1">
        <v>-1</v>
      </c>
      <c r="S406" s="1">
        <v>0</v>
      </c>
      <c r="T406" s="1">
        <v>0</v>
      </c>
      <c r="U406" s="1">
        <v>1</v>
      </c>
      <c r="V406" s="118">
        <v>0</v>
      </c>
      <c r="Z406" s="116">
        <v>3.9215686274509776E-2</v>
      </c>
      <c r="AA406" s="116">
        <v>1.164705882352941</v>
      </c>
      <c r="AB406" s="116">
        <v>5.8823529411764705E-2</v>
      </c>
      <c r="AC406" s="116">
        <v>7.8431372549019607E-3</v>
      </c>
      <c r="AD406" s="116">
        <v>0.93725490196078431</v>
      </c>
      <c r="AE406" s="116">
        <v>0.68627450980392157</v>
      </c>
      <c r="AF406" s="116">
        <v>1.1764705882352941E-2</v>
      </c>
      <c r="AG406" s="116">
        <v>0.57647058823529407</v>
      </c>
      <c r="AH406" s="116">
        <v>5.4901960784313725E-2</v>
      </c>
    </row>
    <row r="407" spans="14:34" ht="24" customHeight="1">
      <c r="N407" s="117">
        <v>0</v>
      </c>
      <c r="O407" s="1">
        <v>0</v>
      </c>
      <c r="P407" s="1">
        <v>1</v>
      </c>
      <c r="Q407" s="1">
        <v>-1</v>
      </c>
      <c r="R407" s="1">
        <v>-1</v>
      </c>
      <c r="S407" s="1">
        <v>0</v>
      </c>
      <c r="T407" s="1">
        <v>0</v>
      </c>
      <c r="U407" s="1">
        <v>1</v>
      </c>
      <c r="V407" s="118">
        <v>1</v>
      </c>
      <c r="Z407" s="116">
        <v>1.2117647058823531</v>
      </c>
      <c r="AA407" s="116">
        <v>1.2509803921568627</v>
      </c>
      <c r="AB407" s="116">
        <v>3.1372549019607843E-2</v>
      </c>
      <c r="AC407" s="116">
        <v>3.5294117647058823E-2</v>
      </c>
      <c r="AD407" s="116">
        <v>0.26666666666666672</v>
      </c>
      <c r="AE407" s="116">
        <v>-0.1333333333333333</v>
      </c>
      <c r="AF407" s="116">
        <v>7.4509803921568626E-2</v>
      </c>
      <c r="AG407" s="116">
        <v>8.2352941176470559E-2</v>
      </c>
      <c r="AH407" s="116">
        <v>2.3529411764705882E-2</v>
      </c>
    </row>
    <row r="408" spans="14:34" ht="24" customHeight="1">
      <c r="N408" s="117">
        <v>1</v>
      </c>
      <c r="O408" s="1">
        <v>0</v>
      </c>
      <c r="P408" s="1">
        <v>1</v>
      </c>
      <c r="Q408" s="1">
        <v>0</v>
      </c>
      <c r="R408" s="1">
        <v>0</v>
      </c>
      <c r="S408" s="1">
        <v>1</v>
      </c>
      <c r="T408" s="1">
        <v>0</v>
      </c>
      <c r="U408" s="1">
        <v>0</v>
      </c>
      <c r="V408" s="118">
        <v>0</v>
      </c>
      <c r="Z408" s="116">
        <v>0.69803921568627447</v>
      </c>
      <c r="AA408" s="116">
        <v>1.7843137254901962</v>
      </c>
      <c r="AB408" s="116">
        <v>0.85098039215686272</v>
      </c>
      <c r="AC408" s="116">
        <v>0.63137254901960782</v>
      </c>
      <c r="AD408" s="116">
        <v>2.0588235294117645</v>
      </c>
      <c r="AE408" s="116">
        <v>9.0196078431372548E-2</v>
      </c>
      <c r="AF408" s="116">
        <v>9.4117647058823528E-2</v>
      </c>
      <c r="AG408" s="116">
        <v>2.0705882352941178</v>
      </c>
      <c r="AH408" s="116">
        <v>0.59607843137254901</v>
      </c>
    </row>
    <row r="409" spans="14:34" ht="24" customHeight="1" thickBot="1">
      <c r="N409" s="119">
        <v>1</v>
      </c>
      <c r="O409" s="120">
        <v>-1</v>
      </c>
      <c r="P409" s="120">
        <v>1</v>
      </c>
      <c r="Q409" s="120">
        <v>0</v>
      </c>
      <c r="R409" s="120">
        <v>1</v>
      </c>
      <c r="S409" s="120">
        <v>-1</v>
      </c>
      <c r="T409" s="120">
        <v>1</v>
      </c>
      <c r="U409" s="120">
        <v>1</v>
      </c>
      <c r="V409" s="121">
        <v>0</v>
      </c>
      <c r="Z409" s="116">
        <v>1.7686274509803921</v>
      </c>
      <c r="AA409" s="116">
        <v>1.3411764705882354</v>
      </c>
      <c r="AB409" s="116">
        <v>1.6745098039215687</v>
      </c>
      <c r="AC409" s="116">
        <v>-0.50196078431372548</v>
      </c>
      <c r="AD409" s="116">
        <v>2.7686274509803921</v>
      </c>
      <c r="AE409" s="116">
        <v>0.13725490196078433</v>
      </c>
      <c r="AF409" s="116">
        <v>0.10588235294117647</v>
      </c>
      <c r="AG409" s="116">
        <v>0.12941176470588245</v>
      </c>
      <c r="AH409" s="116">
        <v>0.15686274509803927</v>
      </c>
    </row>
    <row r="410" spans="14:34" ht="24" customHeight="1" thickTop="1"/>
    <row r="411" spans="14:34" ht="24" customHeight="1" thickBot="1">
      <c r="Y411" s="1" t="s">
        <v>138</v>
      </c>
    </row>
    <row r="412" spans="14:34" ht="24" customHeight="1" thickTop="1">
      <c r="U412" t="s">
        <v>139</v>
      </c>
      <c r="Y412" s="122">
        <v>1</v>
      </c>
    </row>
    <row r="413" spans="14:34" ht="24" customHeight="1">
      <c r="U413" t="s">
        <v>140</v>
      </c>
      <c r="Y413" s="123">
        <v>1</v>
      </c>
    </row>
    <row r="414" spans="14:34" ht="24" customHeight="1">
      <c r="Y414" s="123">
        <v>0</v>
      </c>
    </row>
    <row r="415" spans="14:34" ht="24" customHeight="1">
      <c r="Y415" s="123">
        <v>-1</v>
      </c>
    </row>
    <row r="416" spans="14:34" ht="24" customHeight="1" thickBot="1">
      <c r="Y416" s="124">
        <v>1</v>
      </c>
    </row>
    <row r="417" spans="21:34" ht="24" customHeight="1" thickTop="1"/>
    <row r="418" spans="21:34" ht="24" customHeight="1" thickBot="1">
      <c r="Y418" s="1">
        <v>0</v>
      </c>
      <c r="Z418" s="1">
        <v>1</v>
      </c>
      <c r="AA418" s="1">
        <v>2</v>
      </c>
      <c r="AB418" s="1">
        <v>3</v>
      </c>
      <c r="AC418" s="1">
        <v>4</v>
      </c>
      <c r="AD418" s="1">
        <v>5</v>
      </c>
      <c r="AE418" s="1">
        <v>6</v>
      </c>
      <c r="AF418" s="1">
        <v>7</v>
      </c>
      <c r="AG418" s="1">
        <v>8</v>
      </c>
      <c r="AH418" s="1">
        <v>9</v>
      </c>
    </row>
    <row r="419" spans="21:34" ht="24" customHeight="1" thickTop="1">
      <c r="U419" t="s">
        <v>141</v>
      </c>
      <c r="Y419" s="125">
        <v>0.1</v>
      </c>
      <c r="Z419" s="126">
        <v>0.3</v>
      </c>
      <c r="AA419" s="126">
        <v>0.5</v>
      </c>
      <c r="AB419" s="126">
        <v>0.6</v>
      </c>
      <c r="AC419" s="126">
        <v>0</v>
      </c>
      <c r="AD419" s="126">
        <v>0.2</v>
      </c>
      <c r="AE419" s="126">
        <v>0.1</v>
      </c>
      <c r="AF419" s="126">
        <v>1</v>
      </c>
      <c r="AG419" s="126">
        <v>0.2</v>
      </c>
      <c r="AH419" s="127">
        <v>0.1</v>
      </c>
    </row>
    <row r="420" spans="21:34" ht="24" customHeight="1">
      <c r="U420" t="s">
        <v>142</v>
      </c>
      <c r="Y420" s="128">
        <v>0</v>
      </c>
      <c r="Z420" s="129">
        <v>0.3</v>
      </c>
      <c r="AA420" s="129">
        <v>0.3</v>
      </c>
      <c r="AB420" s="129">
        <v>0.9</v>
      </c>
      <c r="AC420" s="129">
        <v>0.6</v>
      </c>
      <c r="AD420" s="129">
        <v>0.4</v>
      </c>
      <c r="AE420" s="129">
        <v>0.2</v>
      </c>
      <c r="AF420" s="129">
        <v>0.7</v>
      </c>
      <c r="AG420" s="129">
        <v>0.7</v>
      </c>
      <c r="AH420" s="130">
        <v>0.7</v>
      </c>
    </row>
    <row r="421" spans="21:34" ht="24" customHeight="1">
      <c r="U421" t="s">
        <v>143</v>
      </c>
      <c r="Y421" s="128">
        <v>0</v>
      </c>
      <c r="Z421" s="129">
        <v>0.3</v>
      </c>
      <c r="AA421" s="129">
        <v>0.1</v>
      </c>
      <c r="AB421" s="129">
        <v>0.7</v>
      </c>
      <c r="AC421" s="129">
        <v>0.6</v>
      </c>
      <c r="AD421" s="129">
        <v>1</v>
      </c>
      <c r="AE421" s="129">
        <v>0</v>
      </c>
      <c r="AF421" s="129">
        <v>0.8</v>
      </c>
      <c r="AG421" s="129">
        <v>0.8</v>
      </c>
      <c r="AH421" s="130">
        <v>1</v>
      </c>
    </row>
    <row r="422" spans="21:34" ht="24" customHeight="1">
      <c r="Y422" s="128">
        <v>0.2</v>
      </c>
      <c r="Z422" s="129">
        <v>0.4</v>
      </c>
      <c r="AA422" s="129">
        <v>0.4</v>
      </c>
      <c r="AB422" s="129">
        <v>0.3</v>
      </c>
      <c r="AC422" s="129">
        <v>0.9</v>
      </c>
      <c r="AD422" s="129">
        <v>0.4</v>
      </c>
      <c r="AE422" s="129">
        <v>0.5</v>
      </c>
      <c r="AF422" s="129">
        <v>0.7</v>
      </c>
      <c r="AG422" s="129">
        <v>0.3</v>
      </c>
      <c r="AH422" s="130">
        <v>0.5</v>
      </c>
    </row>
    <row r="423" spans="21:34" ht="24" customHeight="1" thickBot="1">
      <c r="Y423" s="131">
        <v>0.2</v>
      </c>
      <c r="Z423" s="132">
        <v>0.3</v>
      </c>
      <c r="AA423" s="132">
        <v>0.1</v>
      </c>
      <c r="AB423" s="132">
        <v>0.3</v>
      </c>
      <c r="AC423" s="132">
        <v>0.5</v>
      </c>
      <c r="AD423" s="132">
        <v>0.8</v>
      </c>
      <c r="AE423" s="132">
        <v>0.3</v>
      </c>
      <c r="AF423" s="132">
        <v>0.9</v>
      </c>
      <c r="AG423" s="132">
        <v>0.1</v>
      </c>
      <c r="AH423" s="133">
        <v>0.6</v>
      </c>
    </row>
    <row r="424" spans="21:34" ht="24" customHeight="1" thickTop="1"/>
    <row r="426" spans="21:34" ht="24" customHeight="1">
      <c r="U426" t="s">
        <v>144</v>
      </c>
      <c r="Y426" s="134" cm="1">
        <f t="array" ref="Y426:Y430">Y412:Y416+Y419:Y423</f>
        <v>1.1000000000000001</v>
      </c>
      <c r="Z426" s="134" cm="1">
        <f t="array" ref="Z426:AH430">_xlfn.ANCHORARRAY(Z405)+Z419:AH423</f>
        <v>0.39803921568627454</v>
      </c>
      <c r="AA426" s="134">
        <v>2.3000000000000003</v>
      </c>
      <c r="AB426" s="134">
        <v>2.1450980392156862</v>
      </c>
      <c r="AC426" s="134">
        <v>0.61568627450980384</v>
      </c>
      <c r="AD426" s="134">
        <v>1.3176470588235294</v>
      </c>
      <c r="AE426" s="134">
        <v>-0.57843137254901955</v>
      </c>
      <c r="AF426" s="134">
        <v>1.0313725490196077</v>
      </c>
      <c r="AG426" s="134">
        <v>1.7176470588235295</v>
      </c>
      <c r="AH426" s="134">
        <v>0.63333333333333341</v>
      </c>
    </row>
    <row r="427" spans="21:34" ht="24" customHeight="1">
      <c r="U427" t="s">
        <v>145</v>
      </c>
      <c r="Y427" s="135">
        <v>1</v>
      </c>
      <c r="Z427" s="135">
        <v>0.33921568627450976</v>
      </c>
      <c r="AA427" s="135">
        <v>1.4647058823529411</v>
      </c>
      <c r="AB427" s="135">
        <v>0.95882352941176474</v>
      </c>
      <c r="AC427" s="135">
        <v>0.60784313725490191</v>
      </c>
      <c r="AD427" s="135">
        <v>1.3372549019607844</v>
      </c>
      <c r="AE427" s="135">
        <v>0.88627450980392153</v>
      </c>
      <c r="AF427" s="135">
        <v>0.71176470588235285</v>
      </c>
      <c r="AG427" s="135">
        <v>1.276470588235294</v>
      </c>
      <c r="AH427" s="135">
        <v>0.75490196078431371</v>
      </c>
    </row>
    <row r="428" spans="21:34" ht="24" customHeight="1">
      <c r="Y428" s="135">
        <v>0</v>
      </c>
      <c r="Z428" s="135">
        <v>1.5117647058823531</v>
      </c>
      <c r="AA428" s="135">
        <v>1.3509803921568628</v>
      </c>
      <c r="AB428" s="135">
        <v>0.7313725490196078</v>
      </c>
      <c r="AC428" s="135">
        <v>0.63529411764705879</v>
      </c>
      <c r="AD428" s="135">
        <v>1.2666666666666666</v>
      </c>
      <c r="AE428" s="135">
        <v>-0.1333333333333333</v>
      </c>
      <c r="AF428" s="135">
        <v>0.87450980392156863</v>
      </c>
      <c r="AG428" s="135">
        <v>0.88235294117647056</v>
      </c>
      <c r="AH428" s="135">
        <v>1.0235294117647058</v>
      </c>
    </row>
    <row r="429" spans="21:34" ht="24" customHeight="1">
      <c r="Y429" s="135">
        <v>-0.8</v>
      </c>
      <c r="Z429" s="135">
        <v>1.0980392156862746</v>
      </c>
      <c r="AA429" s="135">
        <v>2.1843137254901963</v>
      </c>
      <c r="AB429" s="135">
        <v>1.1509803921568627</v>
      </c>
      <c r="AC429" s="135">
        <v>1.5313725490196077</v>
      </c>
      <c r="AD429" s="135">
        <v>2.4588235294117644</v>
      </c>
      <c r="AE429" s="135">
        <v>0.59019607843137256</v>
      </c>
      <c r="AF429" s="135">
        <v>0.79411764705882348</v>
      </c>
      <c r="AG429" s="135">
        <v>2.3705882352941177</v>
      </c>
      <c r="AH429" s="135">
        <v>1.0960784313725491</v>
      </c>
    </row>
    <row r="430" spans="21:34" ht="24" customHeight="1">
      <c r="Y430" s="136">
        <v>1.2</v>
      </c>
      <c r="Z430" s="136">
        <v>2.0686274509803919</v>
      </c>
      <c r="AA430" s="136">
        <v>1.4411764705882355</v>
      </c>
      <c r="AB430" s="136">
        <v>1.9745098039215687</v>
      </c>
      <c r="AC430" s="136">
        <v>-1.9607843137254832E-3</v>
      </c>
      <c r="AD430" s="136">
        <v>3.5686274509803919</v>
      </c>
      <c r="AE430" s="136">
        <v>0.43725490196078431</v>
      </c>
      <c r="AF430" s="136">
        <v>1.0058823529411764</v>
      </c>
      <c r="AG430" s="136">
        <v>0.22941176470588245</v>
      </c>
      <c r="AH430" s="136">
        <v>0.75686274509803919</v>
      </c>
    </row>
    <row r="432" spans="21:34" s="51" customFormat="1" ht="24" customHeight="1"/>
    <row r="433" spans="1:34" ht="24" customHeight="1">
      <c r="C433" s="1">
        <v>1</v>
      </c>
      <c r="D433" s="1">
        <v>2</v>
      </c>
      <c r="E433" s="1">
        <v>3</v>
      </c>
      <c r="F433" s="1">
        <v>4</v>
      </c>
      <c r="G433" s="1">
        <v>5</v>
      </c>
    </row>
    <row r="434" spans="1:34" ht="24" customHeight="1">
      <c r="A434" s="50" t="s">
        <v>1</v>
      </c>
      <c r="B434" s="50"/>
      <c r="C434" s="49">
        <f>AB394</f>
        <v>0.7803921568627451</v>
      </c>
      <c r="D434" s="49">
        <f>AB408</f>
        <v>0.85098039215686272</v>
      </c>
      <c r="E434" s="49">
        <f>AE406</f>
        <v>0.68627450980392157</v>
      </c>
      <c r="F434" s="49">
        <f>Y429</f>
        <v>-0.8</v>
      </c>
      <c r="G434" s="49">
        <f>AF429</f>
        <v>0.79411764705882348</v>
      </c>
    </row>
    <row r="435" spans="1:34" ht="24" customHeight="1">
      <c r="A435" s="50" t="s">
        <v>2</v>
      </c>
      <c r="B435" s="50"/>
      <c r="C435" s="49">
        <v>0.7803921568627451</v>
      </c>
      <c r="D435" s="49">
        <v>0.85098039215686272</v>
      </c>
      <c r="E435" s="49">
        <v>0.68627450980392157</v>
      </c>
      <c r="F435" s="49">
        <v>-0.8</v>
      </c>
      <c r="G435" s="49">
        <v>0.79411764705882348</v>
      </c>
    </row>
    <row r="436" spans="1:34" ht="24" customHeight="1">
      <c r="A436" s="50" t="s">
        <v>3</v>
      </c>
      <c r="C436" s="49" t="str">
        <f>IF(C434=C435,"Y","N")</f>
        <v>Y</v>
      </c>
      <c r="D436" s="49" t="str">
        <f>IF(D434=D435,"Y","N")</f>
        <v>Y</v>
      </c>
      <c r="E436" s="49" t="str">
        <f>IF(E434=E435,"Y","N")</f>
        <v>Y</v>
      </c>
      <c r="F436" s="49" t="str">
        <f>IF(F434=F435,"Y","N")</f>
        <v>Y</v>
      </c>
      <c r="G436" s="49" t="str">
        <f>IF(G434=G435,"Y","N")</f>
        <v>Y</v>
      </c>
    </row>
    <row r="437" spans="1:34" ht="24" customHeight="1">
      <c r="A437" s="50"/>
      <c r="C437" s="1"/>
      <c r="D437" s="1"/>
      <c r="E437" s="1"/>
      <c r="F437" s="1"/>
      <c r="G437" s="1"/>
    </row>
    <row r="438" spans="1:34" ht="24" customHeight="1">
      <c r="A438" s="50"/>
      <c r="C438" s="1"/>
      <c r="D438" s="1"/>
      <c r="E438" s="1"/>
      <c r="F438" s="1"/>
      <c r="G438" s="1"/>
    </row>
    <row r="439" spans="1:34" ht="24" customHeight="1">
      <c r="A439" s="50"/>
      <c r="C439" s="1"/>
      <c r="D439" s="1"/>
      <c r="E439" s="1"/>
      <c r="F439" s="1"/>
      <c r="G439" s="1"/>
    </row>
    <row r="440" spans="1:34" ht="24" customHeight="1">
      <c r="A440" s="50"/>
      <c r="C440" s="1"/>
      <c r="D440" s="1"/>
      <c r="E440" s="1"/>
      <c r="F440" s="1"/>
      <c r="G440" s="1"/>
    </row>
    <row r="441" spans="1:34" ht="24" customHeight="1">
      <c r="A441" s="50"/>
      <c r="C441" s="1"/>
      <c r="D441" s="1"/>
      <c r="E441" s="1"/>
      <c r="F441" s="1"/>
      <c r="G441" s="1"/>
    </row>
    <row r="442" spans="1:34" ht="24" customHeight="1">
      <c r="A442" s="50"/>
      <c r="C442" s="1"/>
      <c r="D442" s="1"/>
      <c r="E442" s="1"/>
      <c r="F442" s="1"/>
      <c r="G442" s="1"/>
    </row>
    <row r="445" spans="1:34" s="142" customFormat="1" ht="32.1">
      <c r="A445" s="142" t="s">
        <v>146</v>
      </c>
    </row>
    <row r="448" spans="1:34" ht="24" customHeight="1">
      <c r="Y448" s="10">
        <v>0.77831678558280781</v>
      </c>
      <c r="Z448" s="10">
        <v>0.68802030247267543</v>
      </c>
      <c r="AA448" s="10">
        <v>0.76609389754587165</v>
      </c>
      <c r="AB448" s="10">
        <v>0.82653753030225052</v>
      </c>
      <c r="AC448" s="10">
        <v>0.63237284189200382</v>
      </c>
      <c r="AD448" s="10">
        <v>0.66844893782903669</v>
      </c>
      <c r="AE448" s="10">
        <v>0.53874052575317055</v>
      </c>
      <c r="AF448" s="10">
        <v>0.7312606125443617</v>
      </c>
      <c r="AG448" s="10">
        <v>0.66577366648628789</v>
      </c>
      <c r="AH448" s="10">
        <v>0.70132551816717004</v>
      </c>
    </row>
    <row r="449" spans="17:34" ht="24" customHeight="1">
      <c r="Y449" s="11">
        <v>1.5300949905285706</v>
      </c>
      <c r="Z449" s="11">
        <v>1.2752371433243841</v>
      </c>
      <c r="AA449" s="11">
        <v>1.4885758110234988</v>
      </c>
      <c r="AB449" s="11">
        <v>1.3118126451754539</v>
      </c>
      <c r="AC449" s="11">
        <v>1.6112604619669557</v>
      </c>
      <c r="AD449" s="11">
        <v>0.99523531815021493</v>
      </c>
      <c r="AE449" s="11">
        <v>1.6035201627509732</v>
      </c>
      <c r="AF449" s="11">
        <v>1.4577821437311713</v>
      </c>
      <c r="AG449" s="11">
        <v>1.743885549083809</v>
      </c>
      <c r="AH449" s="11">
        <v>1.5319316288212337</v>
      </c>
    </row>
    <row r="450" spans="17:34" ht="24" customHeight="1">
      <c r="Y450" s="11">
        <v>1.6721502105387143</v>
      </c>
      <c r="Z450" s="11">
        <v>1.8356141535159192</v>
      </c>
      <c r="AA450" s="11">
        <v>1.9273943110321263</v>
      </c>
      <c r="AB450" s="11">
        <v>1.7208413411103574</v>
      </c>
      <c r="AC450" s="11">
        <v>2.0478230012794807</v>
      </c>
      <c r="AD450" s="11">
        <v>1.6222910222542293</v>
      </c>
      <c r="AE450" s="11">
        <v>1.9003065524930474</v>
      </c>
      <c r="AF450" s="11">
        <v>1.866899182409369</v>
      </c>
      <c r="AG450" s="11">
        <v>2.1022942539970977</v>
      </c>
      <c r="AH450" s="11">
        <v>1.9103359520668661</v>
      </c>
    </row>
    <row r="451" spans="17:34" ht="24" customHeight="1">
      <c r="Y451" s="11">
        <v>0.89838567348500398</v>
      </c>
      <c r="Z451" s="11">
        <v>1.0604084298384118</v>
      </c>
      <c r="AA451" s="11">
        <v>0.91081901611418337</v>
      </c>
      <c r="AB451" s="11">
        <v>1.0045435667470435</v>
      </c>
      <c r="AC451" s="11">
        <v>0.87016262738257977</v>
      </c>
      <c r="AD451" s="11">
        <v>1.2326117878514709</v>
      </c>
      <c r="AE451" s="11">
        <v>0.96134273545658466</v>
      </c>
      <c r="AF451" s="11">
        <v>0.9435915145306597</v>
      </c>
      <c r="AG451" s="11">
        <v>0.84052942298600142</v>
      </c>
      <c r="AH451" s="11">
        <v>0.90744901111977372</v>
      </c>
    </row>
    <row r="452" spans="17:34" ht="24" customHeight="1">
      <c r="Y452" s="12">
        <v>5.9068548186382195</v>
      </c>
      <c r="Z452" s="12">
        <v>5.3195680657484479</v>
      </c>
      <c r="AA452" s="12">
        <v>5.3379267199204401</v>
      </c>
      <c r="AB452" s="12">
        <v>5.4395165620823978</v>
      </c>
      <c r="AC452" s="12">
        <v>5.2663075713035425</v>
      </c>
      <c r="AD452" s="12">
        <v>5.3850809367158297</v>
      </c>
      <c r="AE452" s="12">
        <v>5.5643095258615833</v>
      </c>
      <c r="AF452" s="12">
        <v>5.3763898453267078</v>
      </c>
      <c r="AG452" s="12">
        <v>5.2410334630415631</v>
      </c>
      <c r="AH452" s="12">
        <v>5.3799906451469806</v>
      </c>
    </row>
    <row r="453" spans="17:34" ht="24" customHeight="1">
      <c r="Y453">
        <v>1</v>
      </c>
    </row>
    <row r="455" spans="17:34" ht="24" customHeight="1">
      <c r="Q455" t="s">
        <v>147</v>
      </c>
      <c r="V455" t="s">
        <v>148</v>
      </c>
    </row>
    <row r="456" spans="17:34" ht="24" customHeight="1">
      <c r="Q456" s="137">
        <v>0</v>
      </c>
      <c r="R456" s="137">
        <v>0</v>
      </c>
      <c r="S456" s="137">
        <v>0</v>
      </c>
      <c r="T456" s="137">
        <v>1</v>
      </c>
      <c r="U456" s="137">
        <v>0</v>
      </c>
      <c r="V456" s="5">
        <v>1</v>
      </c>
      <c r="Y456" s="138" cm="1">
        <f t="array" ref="Y456:Y475">MMULT(Q456:V475,Y448:Y453)</f>
        <v>1.898385673485004</v>
      </c>
    </row>
    <row r="457" spans="17:34" ht="24" customHeight="1">
      <c r="Q457" s="137">
        <v>0</v>
      </c>
      <c r="R457" s="137">
        <v>0</v>
      </c>
      <c r="S457" s="137">
        <v>0</v>
      </c>
      <c r="T457" s="137">
        <v>0</v>
      </c>
      <c r="U457" s="137">
        <v>1</v>
      </c>
      <c r="V457" s="5">
        <v>-2</v>
      </c>
      <c r="Y457" s="139">
        <v>3.9068548186382195</v>
      </c>
    </row>
    <row r="458" spans="17:34" ht="24" customHeight="1">
      <c r="Q458" s="137">
        <v>0</v>
      </c>
      <c r="R458" s="137">
        <v>1</v>
      </c>
      <c r="S458" s="137">
        <v>0</v>
      </c>
      <c r="T458" s="137">
        <v>0</v>
      </c>
      <c r="U458" s="137">
        <v>0</v>
      </c>
      <c r="V458" s="5">
        <v>1</v>
      </c>
      <c r="Y458" s="139">
        <v>2.5300949905285703</v>
      </c>
    </row>
    <row r="459" spans="17:34" ht="24" customHeight="1">
      <c r="Q459" s="137">
        <v>0</v>
      </c>
      <c r="R459" s="137">
        <v>0</v>
      </c>
      <c r="S459" s="137">
        <v>1</v>
      </c>
      <c r="T459" s="137">
        <v>1</v>
      </c>
      <c r="U459" s="137">
        <v>0</v>
      </c>
      <c r="V459" s="5">
        <v>5</v>
      </c>
      <c r="Y459" s="139">
        <v>7.5705358840237178</v>
      </c>
    </row>
    <row r="460" spans="17:34" ht="24" customHeight="1">
      <c r="Q460" s="137">
        <v>1</v>
      </c>
      <c r="R460" s="137">
        <v>0</v>
      </c>
      <c r="S460" s="137">
        <v>0</v>
      </c>
      <c r="T460" s="137">
        <v>0</v>
      </c>
      <c r="U460" s="137">
        <v>0</v>
      </c>
      <c r="V460" s="5">
        <v>-2</v>
      </c>
      <c r="Y460" s="139">
        <v>-1.2216832144171921</v>
      </c>
    </row>
    <row r="461" spans="17:34" ht="24" customHeight="1">
      <c r="Q461" s="137">
        <v>1</v>
      </c>
      <c r="R461" s="137">
        <v>0</v>
      </c>
      <c r="S461" s="137">
        <v>1</v>
      </c>
      <c r="T461" s="137">
        <v>0</v>
      </c>
      <c r="U461" s="137">
        <v>0</v>
      </c>
      <c r="V461" s="5">
        <v>0</v>
      </c>
      <c r="Y461" s="139">
        <v>2.4504669961215222</v>
      </c>
    </row>
    <row r="462" spans="17:34" ht="24" customHeight="1">
      <c r="Q462" s="137">
        <v>0</v>
      </c>
      <c r="R462" s="137">
        <v>1</v>
      </c>
      <c r="S462" s="137">
        <v>1</v>
      </c>
      <c r="T462" s="137">
        <v>0</v>
      </c>
      <c r="U462" s="137">
        <v>0</v>
      </c>
      <c r="V462" s="5">
        <v>-1</v>
      </c>
      <c r="Y462" s="139">
        <v>2.2022452010672851</v>
      </c>
    </row>
    <row r="463" spans="17:34" ht="24" customHeight="1">
      <c r="Q463" s="137">
        <v>0</v>
      </c>
      <c r="R463" s="137">
        <v>0</v>
      </c>
      <c r="S463" s="137">
        <v>-1</v>
      </c>
      <c r="T463" s="137">
        <v>1</v>
      </c>
      <c r="U463" s="137">
        <v>0</v>
      </c>
      <c r="V463" s="5">
        <v>2</v>
      </c>
      <c r="Y463" s="139">
        <v>1.2262354629462897</v>
      </c>
    </row>
    <row r="464" spans="17:34" ht="24" customHeight="1">
      <c r="Q464" s="137">
        <v>0</v>
      </c>
      <c r="R464" s="137">
        <v>1</v>
      </c>
      <c r="S464" s="137">
        <v>-1</v>
      </c>
      <c r="T464" s="137">
        <v>0</v>
      </c>
      <c r="U464" s="137">
        <v>0</v>
      </c>
      <c r="V464" s="5">
        <v>1</v>
      </c>
      <c r="Y464" s="139">
        <v>0.8579447799898563</v>
      </c>
    </row>
    <row r="465" spans="17:27" ht="24" customHeight="1">
      <c r="Q465" s="137">
        <v>0</v>
      </c>
      <c r="R465" s="137">
        <v>0</v>
      </c>
      <c r="S465" s="137">
        <v>1</v>
      </c>
      <c r="T465" s="137">
        <v>0</v>
      </c>
      <c r="U465" s="137">
        <v>0</v>
      </c>
      <c r="V465" s="5">
        <v>0</v>
      </c>
      <c r="Y465" s="139">
        <v>1.6721502105387143</v>
      </c>
    </row>
    <row r="466" spans="17:27" ht="24" customHeight="1">
      <c r="Q466" s="137">
        <v>0</v>
      </c>
      <c r="R466" s="137">
        <v>0</v>
      </c>
      <c r="S466" s="137">
        <v>1</v>
      </c>
      <c r="T466" s="137">
        <v>1</v>
      </c>
      <c r="U466" s="137">
        <v>0</v>
      </c>
      <c r="V466" s="5">
        <v>-4</v>
      </c>
      <c r="Y466" s="139">
        <v>-1.4294641159762818</v>
      </c>
    </row>
    <row r="467" spans="17:27" ht="24" customHeight="1">
      <c r="Q467" s="137">
        <v>0</v>
      </c>
      <c r="R467" s="137">
        <v>0</v>
      </c>
      <c r="S467" s="137">
        <v>0</v>
      </c>
      <c r="T467" s="137">
        <v>0</v>
      </c>
      <c r="U467" s="137">
        <v>1</v>
      </c>
      <c r="V467" s="5">
        <v>1</v>
      </c>
      <c r="Y467" s="139">
        <v>6.9068548186382195</v>
      </c>
    </row>
    <row r="468" spans="17:27" ht="24" customHeight="1">
      <c r="Q468" s="137">
        <v>0</v>
      </c>
      <c r="R468" s="137">
        <v>1</v>
      </c>
      <c r="S468" s="137">
        <v>0</v>
      </c>
      <c r="T468" s="137">
        <v>1</v>
      </c>
      <c r="U468" s="137">
        <v>0</v>
      </c>
      <c r="V468" s="5">
        <v>4</v>
      </c>
      <c r="Y468" s="139">
        <v>6.4284806640135743</v>
      </c>
    </row>
    <row r="469" spans="17:27" ht="24" customHeight="1">
      <c r="Q469" s="137">
        <v>0</v>
      </c>
      <c r="R469" s="137">
        <v>1</v>
      </c>
      <c r="S469" s="137">
        <v>1</v>
      </c>
      <c r="T469" s="137">
        <v>0</v>
      </c>
      <c r="U469" s="137">
        <v>0</v>
      </c>
      <c r="V469" s="5">
        <v>0</v>
      </c>
      <c r="Y469" s="139">
        <v>3.2022452010672851</v>
      </c>
    </row>
    <row r="470" spans="17:27" ht="24" customHeight="1">
      <c r="Q470" s="137">
        <v>1</v>
      </c>
      <c r="R470" s="137">
        <v>1</v>
      </c>
      <c r="S470" s="137">
        <v>0</v>
      </c>
      <c r="T470" s="137">
        <v>0</v>
      </c>
      <c r="U470" s="137">
        <v>0</v>
      </c>
      <c r="V470" s="5">
        <v>1</v>
      </c>
      <c r="Y470" s="139">
        <v>3.3084117761113783</v>
      </c>
    </row>
    <row r="471" spans="17:27" ht="24" customHeight="1">
      <c r="Q471" s="137">
        <v>1</v>
      </c>
      <c r="R471" s="137">
        <v>0</v>
      </c>
      <c r="S471" s="137">
        <v>1</v>
      </c>
      <c r="T471" s="137">
        <v>0</v>
      </c>
      <c r="U471" s="137">
        <v>0</v>
      </c>
      <c r="V471" s="5">
        <v>0</v>
      </c>
      <c r="Y471" s="139">
        <v>2.4504669961215222</v>
      </c>
    </row>
    <row r="472" spans="17:27" ht="24" customHeight="1">
      <c r="Q472" s="137">
        <v>0</v>
      </c>
      <c r="R472" s="137">
        <v>1</v>
      </c>
      <c r="S472" s="137">
        <v>1</v>
      </c>
      <c r="T472" s="137">
        <v>0</v>
      </c>
      <c r="U472" s="137">
        <v>0</v>
      </c>
      <c r="V472" s="5">
        <v>0</v>
      </c>
      <c r="Y472" s="139">
        <v>3.2022452010672851</v>
      </c>
    </row>
    <row r="473" spans="17:27" ht="24" customHeight="1">
      <c r="Q473" s="137">
        <v>0</v>
      </c>
      <c r="R473" s="137">
        <v>1</v>
      </c>
      <c r="S473" s="137">
        <v>-2</v>
      </c>
      <c r="T473" s="137">
        <v>1</v>
      </c>
      <c r="U473" s="137">
        <v>0</v>
      </c>
      <c r="V473" s="5">
        <v>2</v>
      </c>
      <c r="Y473" s="139">
        <v>1.084180242936146</v>
      </c>
    </row>
    <row r="474" spans="17:27" ht="24" customHeight="1">
      <c r="Q474" s="137">
        <v>0</v>
      </c>
      <c r="R474" s="137">
        <v>1</v>
      </c>
      <c r="S474" s="137">
        <v>0</v>
      </c>
      <c r="T474" s="137">
        <v>1</v>
      </c>
      <c r="U474" s="137">
        <v>0</v>
      </c>
      <c r="V474" s="5">
        <v>-5</v>
      </c>
      <c r="Y474" s="139">
        <v>-2.5715193359864257</v>
      </c>
    </row>
    <row r="475" spans="17:27" ht="24" customHeight="1">
      <c r="Q475" s="137">
        <v>0</v>
      </c>
      <c r="R475" s="137">
        <v>0</v>
      </c>
      <c r="S475" s="137">
        <v>0</v>
      </c>
      <c r="T475" s="137">
        <v>0</v>
      </c>
      <c r="U475" s="137">
        <v>1</v>
      </c>
      <c r="V475" s="5">
        <v>-1</v>
      </c>
      <c r="Y475" s="140">
        <v>4.9068548186382195</v>
      </c>
    </row>
    <row r="477" spans="17:27" ht="24" customHeight="1">
      <c r="U477" t="s">
        <v>149</v>
      </c>
    </row>
    <row r="479" spans="17:27" ht="24" customHeight="1">
      <c r="W479" t="s">
        <v>150</v>
      </c>
      <c r="Y479" s="1" t="s">
        <v>151</v>
      </c>
      <c r="AA479" t="s">
        <v>152</v>
      </c>
    </row>
    <row r="480" spans="17:27" ht="24" customHeight="1">
      <c r="W480" cm="1">
        <f t="array" ref="W480:W499">_xlfn.SEQUENCE(20,1,1)</f>
        <v>1</v>
      </c>
      <c r="Y480" s="138" cm="1">
        <f t="array" ref="Y480:Y499">EXP(_xlfn.ANCHORARRAY(Y456))/SUM(EXP(_xlfn.ANCHORARRAY(Y456)))</f>
        <v>1.7176863118405453E-3</v>
      </c>
      <c r="AA480" t="s">
        <v>153</v>
      </c>
    </row>
    <row r="481" spans="23:27" ht="24" customHeight="1">
      <c r="W481">
        <v>2</v>
      </c>
      <c r="Y481" s="139">
        <v>1.2800028057226555E-2</v>
      </c>
      <c r="AA481" t="s">
        <v>154</v>
      </c>
    </row>
    <row r="482" spans="23:27" ht="24" customHeight="1">
      <c r="W482">
        <v>3</v>
      </c>
      <c r="Y482" s="139">
        <v>3.2306635022243198E-3</v>
      </c>
    </row>
    <row r="483" spans="23:27" ht="24" customHeight="1">
      <c r="W483">
        <v>4</v>
      </c>
      <c r="Y483" s="139">
        <v>0.499260712014714</v>
      </c>
    </row>
    <row r="484" spans="23:27" ht="24" customHeight="1">
      <c r="W484">
        <v>5</v>
      </c>
      <c r="Y484" s="139">
        <v>7.5842938923223143E-5</v>
      </c>
    </row>
    <row r="485" spans="23:27" ht="24" customHeight="1">
      <c r="W485">
        <v>6</v>
      </c>
      <c r="Y485" s="139">
        <v>2.9833879191626523E-3</v>
      </c>
    </row>
    <row r="486" spans="23:27" ht="24" customHeight="1">
      <c r="W486">
        <v>7</v>
      </c>
      <c r="Y486" s="139">
        <v>2.3276001199241964E-3</v>
      </c>
    </row>
    <row r="487" spans="23:27" ht="24" customHeight="1">
      <c r="W487">
        <v>8</v>
      </c>
      <c r="Y487" s="139">
        <v>8.7706691222560161E-4</v>
      </c>
    </row>
    <row r="488" spans="23:27" ht="24" customHeight="1">
      <c r="W488">
        <v>9</v>
      </c>
      <c r="Y488" s="139">
        <v>6.0685665091546055E-4</v>
      </c>
    </row>
    <row r="489" spans="23:27" ht="24" customHeight="1">
      <c r="W489">
        <v>10</v>
      </c>
      <c r="Y489" s="139">
        <v>1.3699068636535785E-3</v>
      </c>
    </row>
    <row r="490" spans="23:27" ht="24" customHeight="1">
      <c r="W490">
        <v>11</v>
      </c>
      <c r="Y490" s="139">
        <v>6.1613666657912028E-5</v>
      </c>
    </row>
    <row r="491" spans="23:27" ht="24" customHeight="1">
      <c r="W491">
        <v>12</v>
      </c>
      <c r="Y491" s="139">
        <v>0.25709543616126207</v>
      </c>
    </row>
    <row r="492" spans="23:27" ht="24" customHeight="1">
      <c r="W492">
        <v>13</v>
      </c>
      <c r="Y492" s="139">
        <v>0.15934524624705532</v>
      </c>
    </row>
    <row r="493" spans="23:27" ht="24" customHeight="1">
      <c r="W493">
        <v>14</v>
      </c>
      <c r="Y493" s="139">
        <v>6.3270731099090366E-3</v>
      </c>
    </row>
    <row r="494" spans="23:27" ht="24" customHeight="1">
      <c r="W494">
        <v>15</v>
      </c>
      <c r="Y494" s="139">
        <v>7.0357501806437243E-3</v>
      </c>
    </row>
    <row r="495" spans="23:27" ht="24" customHeight="1">
      <c r="W495">
        <v>16</v>
      </c>
      <c r="Y495" s="139">
        <v>2.9833879191626523E-3</v>
      </c>
    </row>
    <row r="496" spans="23:27" ht="24" customHeight="1">
      <c r="W496">
        <v>17</v>
      </c>
      <c r="Y496" s="139">
        <v>6.3270731099090366E-3</v>
      </c>
    </row>
    <row r="497" spans="20:28" ht="24" customHeight="1">
      <c r="W497">
        <v>18</v>
      </c>
      <c r="Y497" s="139">
        <v>7.6091987724391877E-4</v>
      </c>
    </row>
    <row r="498" spans="20:28" ht="24" customHeight="1">
      <c r="W498">
        <v>19</v>
      </c>
      <c r="Y498" s="139">
        <v>1.9664765621492806E-5</v>
      </c>
    </row>
    <row r="499" spans="20:28" ht="24" customHeight="1">
      <c r="W499">
        <v>20</v>
      </c>
      <c r="Y499" s="140">
        <v>3.4794083671724874E-2</v>
      </c>
    </row>
    <row r="501" spans="20:28" ht="24" customHeight="1">
      <c r="AB501" t="s">
        <v>155</v>
      </c>
    </row>
    <row r="502" spans="20:28" ht="24" customHeight="1">
      <c r="W502" t="s">
        <v>150</v>
      </c>
      <c r="Y502" t="s">
        <v>156</v>
      </c>
      <c r="AB502" t="s">
        <v>157</v>
      </c>
    </row>
    <row r="503" spans="20:28" ht="24" customHeight="1">
      <c r="T503" s="141" t="s">
        <v>158</v>
      </c>
      <c r="W503" cm="1">
        <f t="array" ref="W503:W522">_xlfn.SEQUENCE(20,1,1)</f>
        <v>1</v>
      </c>
      <c r="Y503" s="138">
        <v>0</v>
      </c>
      <c r="AB503" s="138" cm="1">
        <f t="array" ref="AB503:AB522">_xlfn.ANCHORARRAY(Y480)-Y503:Y522</f>
        <v>1.7176863118405453E-3</v>
      </c>
    </row>
    <row r="504" spans="20:28" ht="24" customHeight="1">
      <c r="T504" t="s">
        <v>159</v>
      </c>
      <c r="W504">
        <v>2</v>
      </c>
      <c r="Y504" s="139">
        <v>0</v>
      </c>
      <c r="AB504" s="139">
        <v>1.2800028057226555E-2</v>
      </c>
    </row>
    <row r="505" spans="20:28" ht="24" customHeight="1">
      <c r="T505" t="s">
        <v>160</v>
      </c>
      <c r="W505">
        <v>3</v>
      </c>
      <c r="Y505" s="139">
        <v>0</v>
      </c>
      <c r="AB505" s="139">
        <v>3.2306635022243198E-3</v>
      </c>
    </row>
    <row r="506" spans="20:28" ht="24" customHeight="1">
      <c r="T506" t="s">
        <v>161</v>
      </c>
      <c r="W506">
        <v>4</v>
      </c>
      <c r="Y506" s="139">
        <v>1</v>
      </c>
      <c r="AB506" s="139">
        <v>-0.500739287985286</v>
      </c>
    </row>
    <row r="507" spans="20:28" ht="24" customHeight="1">
      <c r="T507" t="s">
        <v>162</v>
      </c>
      <c r="W507">
        <v>5</v>
      </c>
      <c r="Y507" s="139">
        <v>0</v>
      </c>
      <c r="AB507" s="139">
        <v>7.5842938923223143E-5</v>
      </c>
    </row>
    <row r="508" spans="20:28" ht="24" customHeight="1">
      <c r="T508" t="s">
        <v>163</v>
      </c>
      <c r="W508">
        <v>6</v>
      </c>
      <c r="Y508" s="139">
        <v>0</v>
      </c>
      <c r="AB508" s="139">
        <v>2.9833879191626523E-3</v>
      </c>
    </row>
    <row r="509" spans="20:28" ht="24" customHeight="1">
      <c r="W509">
        <v>7</v>
      </c>
      <c r="Y509" s="139">
        <v>0</v>
      </c>
      <c r="AB509" s="139">
        <v>2.3276001199241964E-3</v>
      </c>
    </row>
    <row r="510" spans="20:28" ht="24" customHeight="1">
      <c r="W510">
        <v>8</v>
      </c>
      <c r="Y510" s="139">
        <v>0</v>
      </c>
      <c r="AB510" s="139">
        <v>8.7706691222560161E-4</v>
      </c>
    </row>
    <row r="511" spans="20:28" ht="24" customHeight="1">
      <c r="W511">
        <v>9</v>
      </c>
      <c r="Y511" s="139">
        <v>0</v>
      </c>
      <c r="AB511" s="139">
        <v>6.0685665091546055E-4</v>
      </c>
    </row>
    <row r="512" spans="20:28" ht="24" customHeight="1">
      <c r="W512">
        <v>10</v>
      </c>
      <c r="Y512" s="139">
        <v>0</v>
      </c>
      <c r="AB512" s="139">
        <v>1.3699068636535785E-3</v>
      </c>
    </row>
    <row r="513" spans="1:28" ht="24" customHeight="1">
      <c r="W513">
        <v>11</v>
      </c>
      <c r="Y513" s="139">
        <v>0</v>
      </c>
      <c r="AB513" s="139">
        <v>6.1613666657912028E-5</v>
      </c>
    </row>
    <row r="514" spans="1:28" ht="24" customHeight="1">
      <c r="W514">
        <v>12</v>
      </c>
      <c r="Y514" s="139">
        <v>0</v>
      </c>
      <c r="AB514" s="139">
        <v>0.25709543616126207</v>
      </c>
    </row>
    <row r="515" spans="1:28" ht="24" customHeight="1">
      <c r="W515">
        <v>13</v>
      </c>
      <c r="Y515" s="139">
        <v>0</v>
      </c>
      <c r="AB515" s="139">
        <v>0.15934524624705532</v>
      </c>
    </row>
    <row r="516" spans="1:28" ht="24" customHeight="1">
      <c r="W516">
        <v>14</v>
      </c>
      <c r="Y516" s="139">
        <v>0</v>
      </c>
      <c r="AB516" s="139">
        <v>6.3270731099090366E-3</v>
      </c>
    </row>
    <row r="517" spans="1:28" ht="24" customHeight="1">
      <c r="W517">
        <v>15</v>
      </c>
      <c r="Y517" s="139">
        <v>0</v>
      </c>
      <c r="AB517" s="139">
        <v>7.0357501806437243E-3</v>
      </c>
    </row>
    <row r="518" spans="1:28" ht="24" customHeight="1">
      <c r="W518">
        <v>16</v>
      </c>
      <c r="Y518" s="139">
        <v>0</v>
      </c>
      <c r="AB518" s="139">
        <v>2.9833879191626523E-3</v>
      </c>
    </row>
    <row r="519" spans="1:28" ht="24" customHeight="1">
      <c r="W519">
        <v>17</v>
      </c>
      <c r="Y519" s="139">
        <v>0</v>
      </c>
      <c r="AB519" s="139">
        <v>6.3270731099090366E-3</v>
      </c>
    </row>
    <row r="520" spans="1:28" ht="24" customHeight="1">
      <c r="W520">
        <v>18</v>
      </c>
      <c r="Y520" s="139">
        <v>0</v>
      </c>
      <c r="AB520" s="139">
        <v>7.6091987724391877E-4</v>
      </c>
    </row>
    <row r="521" spans="1:28" ht="24" customHeight="1">
      <c r="W521">
        <v>19</v>
      </c>
      <c r="Y521" s="139">
        <v>0</v>
      </c>
      <c r="AB521" s="139">
        <v>1.9664765621492806E-5</v>
      </c>
    </row>
    <row r="522" spans="1:28" ht="24" customHeight="1">
      <c r="W522">
        <v>20</v>
      </c>
      <c r="Y522" s="140">
        <v>0</v>
      </c>
      <c r="AB522" s="140">
        <v>3.4794083671724874E-2</v>
      </c>
    </row>
    <row r="524" spans="1:28" s="51" customFormat="1" ht="24" customHeight="1"/>
    <row r="525" spans="1:28" ht="24" customHeight="1">
      <c r="C525" s="1">
        <v>1</v>
      </c>
      <c r="D525" s="1">
        <v>2</v>
      </c>
      <c r="E525" s="1">
        <v>3</v>
      </c>
      <c r="F525" s="1">
        <v>4</v>
      </c>
      <c r="G525" s="1">
        <v>5</v>
      </c>
    </row>
    <row r="526" spans="1:28" ht="24" customHeight="1">
      <c r="A526" s="50" t="s">
        <v>1</v>
      </c>
      <c r="B526" s="50"/>
      <c r="C526" s="49">
        <f>Y461</f>
        <v>2.4504669961215222</v>
      </c>
      <c r="D526" s="49">
        <f>Y491</f>
        <v>0.25709543616126207</v>
      </c>
      <c r="E526" s="49">
        <f>AB504</f>
        <v>1.2800028057226555E-2</v>
      </c>
      <c r="F526" s="49">
        <f>AB506</f>
        <v>-0.500739287985286</v>
      </c>
      <c r="G526" s="49">
        <f>AB514</f>
        <v>0.25709543616126207</v>
      </c>
    </row>
    <row r="527" spans="1:28" ht="24" customHeight="1">
      <c r="A527" s="50" t="s">
        <v>2</v>
      </c>
      <c r="B527" s="50"/>
      <c r="C527" s="49">
        <v>2.4504669961215222</v>
      </c>
      <c r="D527" s="49">
        <v>0.25709543616126207</v>
      </c>
      <c r="E527" s="49">
        <v>1.2800028057226555E-2</v>
      </c>
      <c r="F527" s="49">
        <v>-0.500739287985286</v>
      </c>
      <c r="G527" s="49">
        <v>0.25709543616126207</v>
      </c>
    </row>
    <row r="528" spans="1:28" ht="24" customHeight="1">
      <c r="A528" s="50" t="s">
        <v>3</v>
      </c>
      <c r="C528" s="49" t="str">
        <f>IF(C526=C527,"Y","N")</f>
        <v>Y</v>
      </c>
      <c r="D528" s="49" t="str">
        <f>IF(D526=D527,"Y","N")</f>
        <v>Y</v>
      </c>
      <c r="E528" s="49" t="str">
        <f>IF(E526=E527,"Y","N")</f>
        <v>Y</v>
      </c>
      <c r="F528" s="49" t="str">
        <f>IF(F526=F527,"Y","N")</f>
        <v>Y</v>
      </c>
      <c r="G528" s="49" t="str">
        <f>IF(G526=G527,"Y","N")</f>
        <v>Y</v>
      </c>
    </row>
    <row r="533" spans="1:33" s="89" customFormat="1" ht="32.1">
      <c r="A533" s="142" t="s">
        <v>164</v>
      </c>
    </row>
    <row r="535" spans="1:33" ht="24" customHeight="1">
      <c r="N535" t="s">
        <v>165</v>
      </c>
      <c r="AD535" t="s">
        <v>166</v>
      </c>
    </row>
    <row r="536" spans="1:33" ht="24" customHeight="1">
      <c r="N536" s="1"/>
      <c r="O536" s="1"/>
      <c r="P536" s="1"/>
      <c r="Q536" s="1"/>
    </row>
    <row r="537" spans="1:33" ht="24" customHeight="1">
      <c r="N537" s="14">
        <v>9</v>
      </c>
      <c r="O537" s="14">
        <v>3</v>
      </c>
      <c r="P537" s="14">
        <v>13</v>
      </c>
      <c r="Q537" s="14">
        <v>30</v>
      </c>
      <c r="AD537" s="145">
        <v>66.518289963229634</v>
      </c>
      <c r="AE537" s="145">
        <v>38.941125496954278</v>
      </c>
      <c r="AF537" s="145">
        <v>128.03657992645927</v>
      </c>
      <c r="AG537" s="145">
        <v>40.355339059327363</v>
      </c>
    </row>
    <row r="538" spans="1:33" ht="24" customHeight="1">
      <c r="N538" s="24">
        <v>7</v>
      </c>
      <c r="O538" s="24">
        <v>1</v>
      </c>
      <c r="P538" s="24">
        <v>8</v>
      </c>
      <c r="Q538" s="24">
        <v>10</v>
      </c>
      <c r="AD538" s="146">
        <v>19.677669529663685</v>
      </c>
      <c r="AE538" s="146">
        <v>11.899494936611664</v>
      </c>
      <c r="AF538" s="146">
        <v>34.526911934581179</v>
      </c>
      <c r="AG538" s="146">
        <v>12.606601717798211</v>
      </c>
    </row>
    <row r="539" spans="1:33" ht="24" customHeight="1">
      <c r="N539" s="24">
        <v>13</v>
      </c>
      <c r="O539" s="24">
        <v>8</v>
      </c>
      <c r="P539" s="24">
        <v>18</v>
      </c>
      <c r="Q539" s="24">
        <v>10</v>
      </c>
      <c r="AD539" s="146">
        <v>122.37972567696688</v>
      </c>
      <c r="AE539" s="146">
        <v>71.468037431535464</v>
      </c>
      <c r="AF539" s="146">
        <v>241.8807716974934</v>
      </c>
      <c r="AG539" s="146">
        <v>71.468037431535464</v>
      </c>
    </row>
    <row r="540" spans="1:33" ht="24" customHeight="1">
      <c r="N540" s="24">
        <v>6</v>
      </c>
      <c r="O540" s="24">
        <v>4</v>
      </c>
      <c r="P540" s="24">
        <v>5</v>
      </c>
      <c r="Q540" s="24">
        <v>10</v>
      </c>
      <c r="AD540" s="147">
        <v>61.275649276110343</v>
      </c>
      <c r="AE540" s="147">
        <v>36.526911934581179</v>
      </c>
      <c r="AF540" s="147">
        <v>115.7228714274745</v>
      </c>
      <c r="AG540" s="147">
        <v>37.234018715767725</v>
      </c>
    </row>
    <row r="541" spans="1:33" ht="24" customHeight="1">
      <c r="N541" s="24">
        <v>6</v>
      </c>
      <c r="O541" s="24">
        <v>1</v>
      </c>
      <c r="P541" s="24">
        <v>8</v>
      </c>
      <c r="Q541" s="24">
        <v>20</v>
      </c>
      <c r="AD541" s="1">
        <v>1</v>
      </c>
      <c r="AE541" s="1">
        <v>1</v>
      </c>
      <c r="AF541" s="1">
        <v>1</v>
      </c>
      <c r="AG541" s="1">
        <v>1</v>
      </c>
    </row>
    <row r="542" spans="1:33" ht="24" customHeight="1">
      <c r="N542" s="15">
        <v>7</v>
      </c>
      <c r="O542" s="15">
        <v>2</v>
      </c>
      <c r="P542" s="15">
        <v>8</v>
      </c>
      <c r="Q542" s="15">
        <v>10</v>
      </c>
    </row>
    <row r="543" spans="1:33" ht="24" customHeight="1">
      <c r="N543" s="1">
        <v>1</v>
      </c>
      <c r="O543" s="1">
        <v>1</v>
      </c>
      <c r="P543" s="1">
        <v>1</v>
      </c>
      <c r="Q543" s="1">
        <v>1</v>
      </c>
    </row>
    <row r="544" spans="1:33" ht="24" customHeight="1">
      <c r="F544" t="s">
        <v>101</v>
      </c>
      <c r="X544" t="s">
        <v>101</v>
      </c>
    </row>
    <row r="546" spans="6:33" ht="24" customHeight="1">
      <c r="F546" s="148">
        <v>0</v>
      </c>
      <c r="G546" s="148">
        <v>1</v>
      </c>
      <c r="H546" s="148">
        <v>0</v>
      </c>
      <c r="I546" s="148">
        <v>1</v>
      </c>
      <c r="J546" s="148">
        <v>0</v>
      </c>
      <c r="K546" s="148">
        <v>1</v>
      </c>
      <c r="L546" s="149">
        <v>-1</v>
      </c>
      <c r="N546" s="138" cm="1">
        <f t="array" ref="N546:Q548">MMULT(F546:L548,N537:Q543)</f>
        <v>19</v>
      </c>
      <c r="O546" s="138">
        <v>6</v>
      </c>
      <c r="P546" s="138">
        <v>20</v>
      </c>
      <c r="Q546" s="138">
        <v>29</v>
      </c>
      <c r="X546" s="148">
        <v>0</v>
      </c>
      <c r="Y546" s="148">
        <v>0</v>
      </c>
      <c r="Z546" s="148">
        <v>1</v>
      </c>
      <c r="AA546" s="148">
        <v>-1</v>
      </c>
      <c r="AB546" s="149">
        <v>-1</v>
      </c>
      <c r="AD546" s="138" cm="1">
        <f t="array" ref="AD546:AG548">MMULT(X546:AB548,AD537:AG541)</f>
        <v>60.104076400856542</v>
      </c>
      <c r="AE546" s="138">
        <v>33.941125496954285</v>
      </c>
      <c r="AF546" s="138">
        <v>125.1579002700189</v>
      </c>
      <c r="AG546" s="138">
        <v>33.234018715767739</v>
      </c>
    </row>
    <row r="547" spans="6:33" ht="24" customHeight="1">
      <c r="F547" s="148">
        <v>0</v>
      </c>
      <c r="G547" s="148">
        <v>-1</v>
      </c>
      <c r="H547" s="148">
        <v>0</v>
      </c>
      <c r="I547" s="148">
        <v>1</v>
      </c>
      <c r="J547" s="148">
        <v>1</v>
      </c>
      <c r="K547" s="148">
        <v>0</v>
      </c>
      <c r="L547" s="149">
        <v>1</v>
      </c>
      <c r="N547" s="139">
        <v>6</v>
      </c>
      <c r="O547" s="139">
        <v>5</v>
      </c>
      <c r="P547" s="139">
        <v>6</v>
      </c>
      <c r="Q547" s="139">
        <v>21</v>
      </c>
      <c r="X547" s="148">
        <v>1</v>
      </c>
      <c r="Y547" s="148">
        <v>1</v>
      </c>
      <c r="Z547" s="148">
        <v>0</v>
      </c>
      <c r="AA547" s="148">
        <v>0</v>
      </c>
      <c r="AB547" s="149">
        <v>0</v>
      </c>
      <c r="AD547" s="139">
        <v>86.195959492893323</v>
      </c>
      <c r="AE547" s="139">
        <v>50.840620433565945</v>
      </c>
      <c r="AF547" s="139">
        <v>162.56349186104046</v>
      </c>
      <c r="AG547" s="139">
        <v>52.961940777125577</v>
      </c>
    </row>
    <row r="548" spans="6:33" ht="24" customHeight="1">
      <c r="F548" s="148">
        <v>1</v>
      </c>
      <c r="G548" s="148">
        <v>1</v>
      </c>
      <c r="H548" s="148">
        <v>0</v>
      </c>
      <c r="I548" s="148">
        <v>0</v>
      </c>
      <c r="J548" s="148">
        <v>1</v>
      </c>
      <c r="K548" s="148">
        <v>0</v>
      </c>
      <c r="L548" s="149">
        <v>0</v>
      </c>
      <c r="N548" s="140">
        <v>22</v>
      </c>
      <c r="O548" s="140">
        <v>5</v>
      </c>
      <c r="P548" s="140">
        <v>29</v>
      </c>
      <c r="Q548" s="140">
        <v>60</v>
      </c>
      <c r="X548" s="148">
        <v>0</v>
      </c>
      <c r="Y548" s="148">
        <v>0</v>
      </c>
      <c r="Z548" s="148">
        <v>1</v>
      </c>
      <c r="AA548" s="148">
        <v>0</v>
      </c>
      <c r="AB548" s="149">
        <v>1</v>
      </c>
      <c r="AD548" s="140">
        <v>123.37972567696688</v>
      </c>
      <c r="AE548" s="140">
        <v>72.468037431535464</v>
      </c>
      <c r="AF548" s="140">
        <v>242.8807716974934</v>
      </c>
      <c r="AG548" s="140">
        <v>72.468037431535464</v>
      </c>
    </row>
    <row r="550" spans="6:33" ht="24" customHeight="1">
      <c r="K550" t="s">
        <v>167</v>
      </c>
      <c r="AA550" t="s">
        <v>167</v>
      </c>
    </row>
    <row r="551" spans="6:33" ht="24" customHeight="1">
      <c r="N551" s="150" t="s">
        <v>168</v>
      </c>
      <c r="O551" s="150" t="s">
        <v>169</v>
      </c>
      <c r="P551" s="150" t="s">
        <v>170</v>
      </c>
      <c r="Q551" s="150" t="s">
        <v>171</v>
      </c>
      <c r="AD551" s="150" t="s">
        <v>172</v>
      </c>
      <c r="AE551" s="150" t="s">
        <v>173</v>
      </c>
      <c r="AF551" s="150" t="s">
        <v>174</v>
      </c>
      <c r="AG551" s="150" t="s">
        <v>175</v>
      </c>
    </row>
    <row r="552" spans="6:33" ht="24" customHeight="1">
      <c r="N552" s="151" cm="1">
        <f t="array" ref="N552:N554">N546:N548/SQRT(SUM(N546:N548^2))</f>
        <v>0.64012626450274868</v>
      </c>
      <c r="O552" s="151" cm="1">
        <f t="array" ref="O552:O554">O546:O548/SQRT(SUM(O546:O548^2))</f>
        <v>0.64699663922063044</v>
      </c>
      <c r="P552" s="151" cm="1">
        <f t="array" ref="P552:P554">P546:P548/SQRT(SUM(P546:P548^2))</f>
        <v>0.55967324620847736</v>
      </c>
      <c r="Q552" s="151" cm="1">
        <f t="array" ref="Q552:Q554">Q546:Q548/SQRT(SUM(Q546:Q548^2))</f>
        <v>0.41504875011662373</v>
      </c>
      <c r="AD552" s="154" cm="1">
        <f t="array" ref="AD552:AD554">AD546:AD548/SQRT(SUM(AD546:AD548^2))</f>
        <v>0.37086587828040002</v>
      </c>
      <c r="AE552" s="154" cm="1">
        <f t="array" ref="AE552:AE554">AE546:AE548/SQRT(SUM(AE546:AE548^2))</f>
        <v>0.35800195899798887</v>
      </c>
      <c r="AF552" s="154" cm="1">
        <f t="array" ref="AF552:AF554">AF546:AF548/SQRT(SUM(AF546:AF548^2))</f>
        <v>0.39365916885764107</v>
      </c>
      <c r="AG552" s="154" cm="1">
        <f t="array" ref="AG552:AG554">AG546:AG548/SQRT(SUM(AG546:AG548^2))</f>
        <v>0.34722376065471139</v>
      </c>
    </row>
    <row r="553" spans="6:33" ht="24" customHeight="1">
      <c r="N553" s="152">
        <v>0.20214513615876273</v>
      </c>
      <c r="O553" s="152">
        <v>0.53916386601719202</v>
      </c>
      <c r="P553" s="152">
        <v>0.16790197386254319</v>
      </c>
      <c r="Q553" s="152">
        <v>0.30055254318789998</v>
      </c>
      <c r="AD553" s="155">
        <v>0.53186309707769008</v>
      </c>
      <c r="AE553" s="155">
        <v>0.53625333413068654</v>
      </c>
      <c r="AF553" s="155">
        <v>0.51131098360190974</v>
      </c>
      <c r="AG553" s="155">
        <v>0.55333796389422996</v>
      </c>
    </row>
    <row r="554" spans="6:33" ht="24" customHeight="1">
      <c r="N554" s="153">
        <v>0.74119883258213004</v>
      </c>
      <c r="O554" s="153">
        <v>0.53916386601719202</v>
      </c>
      <c r="P554" s="153">
        <v>0.81152620700229217</v>
      </c>
      <c r="Q554" s="153">
        <v>0.85872155196542843</v>
      </c>
      <c r="AD554" s="156">
        <v>0.76130161322187884</v>
      </c>
      <c r="AE554" s="156">
        <v>0.76437357292578134</v>
      </c>
      <c r="AF554" s="156">
        <v>0.76393294000347878</v>
      </c>
      <c r="AG554" s="156">
        <v>0.75713457043658206</v>
      </c>
    </row>
    <row r="559" spans="6:33" ht="24" customHeight="1">
      <c r="J559" s="150" t="s">
        <v>176</v>
      </c>
    </row>
    <row r="560" spans="6:33" ht="24" customHeight="1">
      <c r="J560" s="150" t="s">
        <v>172</v>
      </c>
      <c r="K560" s="150" t="s">
        <v>173</v>
      </c>
      <c r="L560" s="150" t="s">
        <v>174</v>
      </c>
      <c r="M560" s="150" t="s">
        <v>175</v>
      </c>
    </row>
    <row r="561" spans="2:40" ht="24" customHeight="1">
      <c r="J561" s="154" cm="1">
        <f t="array" ref="J561:M563">AD552:AG554</f>
        <v>0.37086587828040002</v>
      </c>
      <c r="K561" s="154">
        <v>0.35800195899798887</v>
      </c>
      <c r="L561" s="154">
        <v>0.39365916885764107</v>
      </c>
      <c r="M561" s="154">
        <v>0.34722376065471139</v>
      </c>
    </row>
    <row r="562" spans="2:40" ht="24" customHeight="1">
      <c r="J562" s="155">
        <v>0.53186309707769008</v>
      </c>
      <c r="K562" s="155">
        <v>0.53625333413068654</v>
      </c>
      <c r="L562" s="155">
        <v>0.51131098360190974</v>
      </c>
      <c r="M562" s="155">
        <v>0.55333796389422996</v>
      </c>
      <c r="O562" t="s">
        <v>177</v>
      </c>
      <c r="Z562" s="50" t="s">
        <v>178</v>
      </c>
      <c r="AG562" s="50" t="s">
        <v>179</v>
      </c>
      <c r="AK562" s="50" t="s">
        <v>180</v>
      </c>
    </row>
    <row r="563" spans="2:40" ht="24" customHeight="1">
      <c r="J563" s="156">
        <v>0.76130161322187884</v>
      </c>
      <c r="K563" s="156">
        <v>0.76437357292578134</v>
      </c>
      <c r="L563" s="156">
        <v>0.76393294000347878</v>
      </c>
      <c r="M563" s="156">
        <v>0.75713457043658206</v>
      </c>
      <c r="O563" t="s">
        <v>181</v>
      </c>
      <c r="AK563" t="s">
        <v>182</v>
      </c>
    </row>
    <row r="564" spans="2:40" ht="24" customHeight="1">
      <c r="E564" s="150" t="s">
        <v>183</v>
      </c>
      <c r="I564" t="s">
        <v>184</v>
      </c>
      <c r="J564" s="150" t="s">
        <v>185</v>
      </c>
      <c r="O564" t="s">
        <v>186</v>
      </c>
      <c r="T564" t="s">
        <v>187</v>
      </c>
      <c r="Z564" s="157" t="s">
        <v>197</v>
      </c>
      <c r="AE564" t="s">
        <v>189</v>
      </c>
      <c r="AH564" t="s">
        <v>190</v>
      </c>
    </row>
    <row r="565" spans="2:40" ht="24" customHeight="1">
      <c r="B565" t="s">
        <v>191</v>
      </c>
      <c r="E565" s="150" t="s">
        <v>168</v>
      </c>
      <c r="F565" s="158" cm="1">
        <f t="array" ref="F565:H568">TRANSPOSE(N552:Q554)</f>
        <v>0.64012626450274868</v>
      </c>
      <c r="G565" s="159">
        <v>0.20214513615876273</v>
      </c>
      <c r="H565" s="160">
        <v>0.74119883258213004</v>
      </c>
      <c r="J565" s="161" cm="1">
        <f t="array" ref="J565:M568">MMULT(_xlfn.ANCHORARRAY(F565),_xlfn.ANCHORARRAY(J561))/B566</f>
        <v>12.988434206210046</v>
      </c>
      <c r="K565" s="162">
        <v>12.916003712152966</v>
      </c>
      <c r="L565" s="162">
        <v>13.165382927848434</v>
      </c>
      <c r="M565" s="163">
        <v>12.790126951755365</v>
      </c>
      <c r="O565" s="169" cm="1">
        <f t="array" ref="O565:R565">EXP(J565:M565)/SUM(EXP(J565:M565))</f>
        <v>0.25356138947096796</v>
      </c>
      <c r="P565" s="170">
        <v>0.23584515509274148</v>
      </c>
      <c r="Q565" s="170">
        <v>0.30264323904171397</v>
      </c>
      <c r="R565" s="171">
        <v>0.20795021639457653</v>
      </c>
      <c r="T565" s="161">
        <v>1</v>
      </c>
      <c r="U565" s="162">
        <v>0</v>
      </c>
      <c r="V565" s="162">
        <v>0</v>
      </c>
      <c r="W565" s="163">
        <v>0</v>
      </c>
      <c r="Z565" s="172" cm="1">
        <f t="array" ref="Z565:AC568">-T565:W568*LOG(O565:R568+0.001)</f>
        <v>0.59420746718395168</v>
      </c>
      <c r="AA565" s="173">
        <v>0</v>
      </c>
      <c r="AB565" s="173">
        <v>0</v>
      </c>
      <c r="AC565" s="174">
        <v>0</v>
      </c>
      <c r="AE565" s="180">
        <f>SUM(_xlfn.ANCHORARRAY(Z565))/4</f>
        <v>0.59453755553504095</v>
      </c>
      <c r="AH565" s="180">
        <f>(AE565+AE570)/2</f>
        <v>0.60604037261439814</v>
      </c>
      <c r="AK565" s="172" cm="1">
        <f t="array" ref="AK565:AN568">O565:R568-T565:W568/B566</f>
        <v>-14.032152896243316</v>
      </c>
      <c r="AL565" s="173">
        <v>0.23584515509274148</v>
      </c>
      <c r="AM565" s="173">
        <v>0.30264323904171397</v>
      </c>
      <c r="AN565" s="174">
        <v>0.20795021639457653</v>
      </c>
    </row>
    <row r="566" spans="2:40" ht="24" customHeight="1">
      <c r="B566" s="143">
        <v>7.0000000000000007E-2</v>
      </c>
      <c r="E566" s="150" t="s">
        <v>169</v>
      </c>
      <c r="F566" s="158">
        <v>0.64699663922063044</v>
      </c>
      <c r="G566" s="159">
        <v>0.53916386601719202</v>
      </c>
      <c r="H566" s="160">
        <v>0.53916386601719202</v>
      </c>
      <c r="J566" s="164">
        <v>13.388238020730626</v>
      </c>
      <c r="K566">
        <v>13.326815653723557</v>
      </c>
      <c r="L566">
        <v>13.460880045932775</v>
      </c>
      <c r="M566" s="165">
        <v>13.303029201718497</v>
      </c>
      <c r="O566" s="169" cm="1">
        <f t="array" ref="O566:R566">EXP(J566:M566)/SUM(EXP(J566:M566))</f>
        <v>0.25418826163955865</v>
      </c>
      <c r="P566" s="170">
        <v>0.23904523768206082</v>
      </c>
      <c r="Q566" s="170">
        <v>0.27334020874915504</v>
      </c>
      <c r="R566" s="171">
        <v>0.23342629192922545</v>
      </c>
      <c r="T566" s="164">
        <v>0</v>
      </c>
      <c r="U566">
        <v>1</v>
      </c>
      <c r="V566">
        <v>0</v>
      </c>
      <c r="W566" s="165">
        <v>0</v>
      </c>
      <c r="Z566" s="175">
        <v>0</v>
      </c>
      <c r="AA566" s="1">
        <v>0.61970690568697617</v>
      </c>
      <c r="AB566" s="1">
        <v>0</v>
      </c>
      <c r="AC566" s="176">
        <v>0</v>
      </c>
      <c r="AK566" s="175">
        <v>0.25418826163955865</v>
      </c>
      <c r="AL566" s="1">
        <v>-14.046669048032223</v>
      </c>
      <c r="AM566" s="1">
        <v>0.27334020874915504</v>
      </c>
      <c r="AN566" s="176">
        <v>0.23342629192922545</v>
      </c>
    </row>
    <row r="567" spans="2:40" ht="24" customHeight="1">
      <c r="E567" s="150" t="s">
        <v>170</v>
      </c>
      <c r="F567" s="158">
        <v>0.55967324620847736</v>
      </c>
      <c r="G567" s="159">
        <v>0.16790197386254319</v>
      </c>
      <c r="H567" s="160">
        <v>0.81152620700229217</v>
      </c>
      <c r="J567" s="164">
        <v>13.066868348454522</v>
      </c>
      <c r="K567">
        <v>13.010161402879428</v>
      </c>
      <c r="L567">
        <v>13.230317564911127</v>
      </c>
      <c r="M567" s="165">
        <v>12.881041882485267</v>
      </c>
      <c r="O567" s="169" cm="1">
        <f t="array" ref="O567:R567">EXP(J567:M567)/SUM(EXP(J567:M567))</f>
        <v>0.25298175885471125</v>
      </c>
      <c r="P567" s="170">
        <v>0.23903510910523132</v>
      </c>
      <c r="Q567" s="170">
        <v>0.29790260469321816</v>
      </c>
      <c r="R567" s="171">
        <v>0.21008052734683924</v>
      </c>
      <c r="T567" s="164">
        <v>0</v>
      </c>
      <c r="U567">
        <v>0</v>
      </c>
      <c r="V567">
        <v>1</v>
      </c>
      <c r="W567" s="165">
        <v>0</v>
      </c>
      <c r="Z567" s="175">
        <v>0</v>
      </c>
      <c r="AA567" s="1">
        <v>0</v>
      </c>
      <c r="AB567" s="1">
        <v>0.5244703004208634</v>
      </c>
      <c r="AC567" s="176">
        <v>0</v>
      </c>
      <c r="AK567" s="175">
        <v>0.25298175885471125</v>
      </c>
      <c r="AL567" s="1">
        <v>0.23903510910523132</v>
      </c>
      <c r="AM567" s="1">
        <v>-13.987811681021066</v>
      </c>
      <c r="AN567" s="176">
        <v>0.21008052734683924</v>
      </c>
    </row>
    <row r="568" spans="2:40" ht="24" customHeight="1">
      <c r="E568" s="150" t="s">
        <v>171</v>
      </c>
      <c r="F568" s="158">
        <v>0.41504875011662373</v>
      </c>
      <c r="G568" s="159">
        <v>0.30055254318789998</v>
      </c>
      <c r="H568" s="160">
        <v>0.85872155196542843</v>
      </c>
      <c r="J568" s="166">
        <v>13.821804693076468</v>
      </c>
      <c r="K568" s="167">
        <v>13.802066140165328</v>
      </c>
      <c r="L568" s="167">
        <v>13.900989176072475</v>
      </c>
      <c r="M568" s="168">
        <v>13.722709907619093</v>
      </c>
      <c r="O568" s="169" cm="1">
        <f t="array" ref="O568:R568">EXP(J568:M568)/SUM(EXP(J568:M568))</f>
        <v>0.25198337204877552</v>
      </c>
      <c r="P568" s="170">
        <v>0.24705835122122868</v>
      </c>
      <c r="Q568" s="170">
        <v>0.2727478070125684</v>
      </c>
      <c r="R568" s="171">
        <v>0.22821046971742734</v>
      </c>
      <c r="T568" s="166">
        <v>0</v>
      </c>
      <c r="U568" s="167">
        <v>0</v>
      </c>
      <c r="V568" s="167">
        <v>0</v>
      </c>
      <c r="W568" s="168">
        <v>1</v>
      </c>
      <c r="Z568" s="177">
        <v>0</v>
      </c>
      <c r="AA568" s="178">
        <v>0</v>
      </c>
      <c r="AB568" s="178">
        <v>0</v>
      </c>
      <c r="AC568" s="179">
        <v>0.63976554884837278</v>
      </c>
      <c r="AK568" s="177">
        <v>0.25198337204877552</v>
      </c>
      <c r="AL568" s="178">
        <v>0.24705835122122868</v>
      </c>
      <c r="AM568" s="178">
        <v>0.2727478070125684</v>
      </c>
      <c r="AN568" s="179">
        <v>-14.057503815996858</v>
      </c>
    </row>
    <row r="569" spans="2:40" ht="24" customHeight="1">
      <c r="J569" t="s">
        <v>192</v>
      </c>
      <c r="T569" t="s">
        <v>187</v>
      </c>
      <c r="Z569" s="157" t="s">
        <v>197</v>
      </c>
      <c r="AE569" t="s">
        <v>189</v>
      </c>
    </row>
    <row r="570" spans="2:40" ht="24" customHeight="1">
      <c r="F570" t="s">
        <v>193</v>
      </c>
      <c r="J570" s="138" cm="1">
        <f t="array" ref="J570:J573">EXP(J565:J568)/SUM(EXP(J565:J568))</f>
        <v>0.17023636563046651</v>
      </c>
      <c r="K570" s="138" cm="1">
        <f t="array" ref="K570:K573">EXP(K565:K568)/SUM(EXP(K565:K568))</f>
        <v>0.1657732942664974</v>
      </c>
      <c r="L570" s="138" cm="1">
        <f t="array" ref="L570:L573">EXP(L565:L568)/SUM(EXP(L565:L568))</f>
        <v>0.18189655652425557</v>
      </c>
      <c r="M570" s="138" cm="1">
        <f t="array" ref="M570:M573">EXP(M565:M568)/SUM(EXP(M565:M568))</f>
        <v>0.15856979415528238</v>
      </c>
      <c r="T570" s="161">
        <v>1</v>
      </c>
      <c r="U570" s="162">
        <v>0</v>
      </c>
      <c r="V570" s="162">
        <v>0</v>
      </c>
      <c r="W570" s="163">
        <v>0</v>
      </c>
      <c r="Z570" s="172" cm="1">
        <f t="array" ref="Z570:AC573">-T570:W573*LOG(J570:M573+0.001)</f>
        <v>0.76640399833004036</v>
      </c>
      <c r="AA570" s="162">
        <v>0</v>
      </c>
      <c r="AB570" s="162">
        <v>0</v>
      </c>
      <c r="AC570" s="163">
        <v>0</v>
      </c>
      <c r="AE570" s="180">
        <f>SUM(_xlfn.ANCHORARRAY(Z570))/4</f>
        <v>0.61754318969375543</v>
      </c>
      <c r="AK570" s="172" cm="1">
        <f t="array" ref="AK570:AN573">J570:M573-T570:W573/B566</f>
        <v>-14.115477920083817</v>
      </c>
      <c r="AL570" s="173">
        <v>0.1657732942664974</v>
      </c>
      <c r="AM570" s="173">
        <v>0.18189655652425557</v>
      </c>
      <c r="AN570" s="174">
        <v>0.15856979415528238</v>
      </c>
    </row>
    <row r="571" spans="2:40" ht="24" customHeight="1">
      <c r="F571" t="s">
        <v>194</v>
      </c>
      <c r="J571" s="139">
        <v>0.25391299575470067</v>
      </c>
      <c r="K571" s="139">
        <v>0.24999304546192505</v>
      </c>
      <c r="L571" s="139">
        <v>0.24443154076355494</v>
      </c>
      <c r="M571" s="139">
        <v>0.26483237747834998</v>
      </c>
      <c r="T571" s="164">
        <v>0</v>
      </c>
      <c r="U571">
        <v>1</v>
      </c>
      <c r="V571">
        <v>0</v>
      </c>
      <c r="W571" s="165">
        <v>0</v>
      </c>
      <c r="Z571" s="164">
        <v>0</v>
      </c>
      <c r="AA571">
        <v>0.60033831182315855</v>
      </c>
      <c r="AB571">
        <v>0</v>
      </c>
      <c r="AC571" s="165">
        <v>0</v>
      </c>
      <c r="AK571" s="175">
        <v>0.25391299575470067</v>
      </c>
      <c r="AL571" s="1">
        <v>-14.035721240252359</v>
      </c>
      <c r="AM571" s="1">
        <v>0.24443154076355494</v>
      </c>
      <c r="AN571" s="176">
        <v>0.26483237747834998</v>
      </c>
    </row>
    <row r="572" spans="2:40" ht="24" customHeight="1">
      <c r="J572" s="139">
        <v>0.18412631187354034</v>
      </c>
      <c r="K572" s="139">
        <v>0.18214058764637223</v>
      </c>
      <c r="L572" s="139">
        <v>0.19409986444736085</v>
      </c>
      <c r="M572" s="139">
        <v>0.17366180679695356</v>
      </c>
      <c r="T572" s="164">
        <v>0</v>
      </c>
      <c r="U572">
        <v>0</v>
      </c>
      <c r="V572">
        <v>1</v>
      </c>
      <c r="W572" s="165">
        <v>0</v>
      </c>
      <c r="Z572" s="164">
        <v>0</v>
      </c>
      <c r="AA572">
        <v>0</v>
      </c>
      <c r="AB572">
        <v>0.70974303234706904</v>
      </c>
      <c r="AC572" s="165">
        <v>0</v>
      </c>
      <c r="AK572" s="175">
        <v>0.18412631187354034</v>
      </c>
      <c r="AL572" s="1">
        <v>0.18214058764637223</v>
      </c>
      <c r="AM572" s="1">
        <v>-14.091614421266923</v>
      </c>
      <c r="AN572" s="176">
        <v>0.17366180679695356</v>
      </c>
    </row>
    <row r="573" spans="2:40" ht="24" customHeight="1">
      <c r="J573" s="140">
        <v>0.39172432674129248</v>
      </c>
      <c r="K573" s="140">
        <v>0.40209307262520538</v>
      </c>
      <c r="L573" s="140">
        <v>0.37957203826482855</v>
      </c>
      <c r="M573" s="140">
        <v>0.40293602156941405</v>
      </c>
      <c r="T573" s="166">
        <v>0</v>
      </c>
      <c r="U573" s="167">
        <v>0</v>
      </c>
      <c r="V573" s="167">
        <v>0</v>
      </c>
      <c r="W573" s="168">
        <v>1</v>
      </c>
      <c r="Z573" s="166">
        <v>0</v>
      </c>
      <c r="AA573" s="167">
        <v>0</v>
      </c>
      <c r="AB573" s="167">
        <v>0</v>
      </c>
      <c r="AC573" s="168">
        <v>0.39368741627475379</v>
      </c>
      <c r="AK573" s="177">
        <v>0.39172432674129248</v>
      </c>
      <c r="AL573" s="178">
        <v>0.40209307262520538</v>
      </c>
      <c r="AM573" s="178">
        <v>0.37957203826482855</v>
      </c>
      <c r="AN573" s="179">
        <v>-13.882778264144871</v>
      </c>
    </row>
    <row r="575" spans="2:40" s="51" customFormat="1" ht="24" customHeight="1"/>
    <row r="576" spans="2:40" ht="24" customHeight="1">
      <c r="C576" s="1">
        <v>1</v>
      </c>
      <c r="D576" s="1">
        <v>2</v>
      </c>
      <c r="E576" s="1">
        <v>3</v>
      </c>
      <c r="F576" s="1">
        <v>4</v>
      </c>
      <c r="G576" s="1">
        <v>5</v>
      </c>
      <c r="H576" s="1">
        <v>6</v>
      </c>
      <c r="I576" s="1">
        <v>7</v>
      </c>
      <c r="J576" s="1">
        <v>8</v>
      </c>
      <c r="K576" s="1">
        <v>9</v>
      </c>
      <c r="L576" s="1">
        <v>10</v>
      </c>
    </row>
    <row r="577" spans="1:12" ht="24" customHeight="1">
      <c r="A577" s="50" t="s">
        <v>1</v>
      </c>
      <c r="B577" s="50"/>
      <c r="C577" s="49">
        <f>O553</f>
        <v>0.53916386601719202</v>
      </c>
      <c r="D577" s="49">
        <f>J566</f>
        <v>13.388238020730626</v>
      </c>
      <c r="E577" s="49">
        <f>Q565</f>
        <v>0.30264323904171397</v>
      </c>
      <c r="F577" s="49">
        <f>AB567</f>
        <v>0.5244703004208634</v>
      </c>
      <c r="G577" s="49">
        <f>AA571</f>
        <v>0.60033831182315855</v>
      </c>
      <c r="H577" s="49">
        <f>AE565</f>
        <v>0.59453755553504095</v>
      </c>
      <c r="I577" s="49">
        <f>AE570</f>
        <v>0.61754318969375543</v>
      </c>
      <c r="J577" s="49">
        <f>AH565</f>
        <v>0.60604037261439814</v>
      </c>
      <c r="K577" s="49">
        <f>AL566</f>
        <v>-14.046669048032223</v>
      </c>
      <c r="L577" s="49">
        <f>AN572</f>
        <v>0.17366180679695356</v>
      </c>
    </row>
    <row r="578" spans="1:12" ht="24" customHeight="1">
      <c r="A578" s="50" t="s">
        <v>2</v>
      </c>
      <c r="B578" s="50"/>
      <c r="C578" s="49">
        <v>0.53916386601719202</v>
      </c>
      <c r="D578" s="49">
        <v>13.388238020730626</v>
      </c>
      <c r="E578" s="49">
        <v>0.30264323904171397</v>
      </c>
      <c r="F578" s="49">
        <v>0.5244703004208634</v>
      </c>
      <c r="G578" s="49">
        <v>0.60033831182315855</v>
      </c>
      <c r="H578" s="49">
        <v>0.59453755553504095</v>
      </c>
      <c r="I578" s="49">
        <v>0.61754318969375543</v>
      </c>
      <c r="J578" s="49">
        <v>0.60604037261439814</v>
      </c>
      <c r="K578" s="49">
        <v>-14.046669048032223</v>
      </c>
      <c r="L578" s="49">
        <v>0.17366180679695356</v>
      </c>
    </row>
    <row r="579" spans="1:12" ht="24" customHeight="1">
      <c r="A579" s="50" t="s">
        <v>3</v>
      </c>
      <c r="C579" s="49" t="str">
        <f>IF(C577=C578,"Y","N")</f>
        <v>Y</v>
      </c>
      <c r="D579" s="49" t="str">
        <f>IF(D577=D578,"Y","N")</f>
        <v>Y</v>
      </c>
      <c r="E579" s="49" t="str">
        <f>IF(E577=E578,"Y","N")</f>
        <v>Y</v>
      </c>
      <c r="F579" s="49" t="str">
        <f>IF(F577=F578,"Y","N")</f>
        <v>Y</v>
      </c>
      <c r="G579" s="49" t="str">
        <f>IF(G577=G578,"Y","N")</f>
        <v>Y</v>
      </c>
      <c r="H579" s="49" t="str">
        <f t="shared" ref="H579" si="38">IF(H577=H578,"Y","N")</f>
        <v>Y</v>
      </c>
      <c r="I579" s="49" t="str">
        <f t="shared" ref="I579" si="39">IF(I577=I578,"Y","N")</f>
        <v>Y</v>
      </c>
      <c r="J579" s="49" t="str">
        <f t="shared" ref="J579" si="40">IF(J577=J578,"Y","N")</f>
        <v>Y</v>
      </c>
      <c r="K579" s="49" t="str">
        <f t="shared" ref="K579" si="41">IF(K577=K578,"Y","N")</f>
        <v>Y</v>
      </c>
      <c r="L579" s="49" t="str">
        <f t="shared" ref="L579" si="42">IF(L577=L578,"Y","N")</f>
        <v>Y</v>
      </c>
    </row>
    <row r="588" spans="1:12" s="53" customFormat="1" ht="24" customHeight="1">
      <c r="A588" s="4" t="s">
        <v>195</v>
      </c>
    </row>
    <row r="590" spans="1:12" ht="24" customHeight="1">
      <c r="A590" t="s">
        <v>196</v>
      </c>
    </row>
  </sheetData>
  <conditionalFormatting sqref="C16:G22">
    <cfRule type="cellIs" dxfId="23" priority="9" operator="equal">
      <formula>"Y"</formula>
    </cfRule>
    <cfRule type="cellIs" dxfId="22" priority="10" stopIfTrue="1" operator="equal">
      <formula>"N"</formula>
    </cfRule>
  </conditionalFormatting>
  <conditionalFormatting sqref="C69:L74">
    <cfRule type="cellIs" dxfId="21" priority="19" operator="equal">
      <formula>"Y"</formula>
    </cfRule>
    <cfRule type="cellIs" dxfId="20" priority="20" stopIfTrue="1" operator="equal">
      <formula>"N"</formula>
    </cfRule>
  </conditionalFormatting>
  <conditionalFormatting sqref="C107:L111">
    <cfRule type="cellIs" dxfId="19" priority="40" stopIfTrue="1" operator="equal">
      <formula>"N"</formula>
    </cfRule>
    <cfRule type="cellIs" dxfId="18" priority="39" operator="equal">
      <formula>"Y"</formula>
    </cfRule>
  </conditionalFormatting>
  <conditionalFormatting sqref="C216:L223">
    <cfRule type="cellIs" dxfId="17" priority="24" stopIfTrue="1" operator="equal">
      <formula>"N"</formula>
    </cfRule>
    <cfRule type="cellIs" dxfId="16" priority="23" operator="equal">
      <formula>"Y"</formula>
    </cfRule>
  </conditionalFormatting>
  <conditionalFormatting sqref="C257:L265">
    <cfRule type="cellIs" dxfId="15" priority="48" stopIfTrue="1" operator="equal">
      <formula>"N"</formula>
    </cfRule>
    <cfRule type="cellIs" dxfId="14" priority="47" operator="equal">
      <formula>"Y"</formula>
    </cfRule>
  </conditionalFormatting>
  <conditionalFormatting sqref="C302:L307">
    <cfRule type="cellIs" dxfId="13" priority="52" stopIfTrue="1" operator="equal">
      <formula>"N"</formula>
    </cfRule>
    <cfRule type="cellIs" dxfId="12" priority="51" operator="equal">
      <formula>"Y"</formula>
    </cfRule>
  </conditionalFormatting>
  <conditionalFormatting sqref="C333:L333">
    <cfRule type="cellIs" dxfId="11" priority="56" stopIfTrue="1" operator="equal">
      <formula>"N"</formula>
    </cfRule>
    <cfRule type="cellIs" dxfId="10" priority="55" operator="equal">
      <formula>"Y"</formula>
    </cfRule>
  </conditionalFormatting>
  <conditionalFormatting sqref="C374:L374">
    <cfRule type="cellIs" dxfId="9" priority="5" operator="equal">
      <formula>"Y"</formula>
    </cfRule>
    <cfRule type="cellIs" dxfId="8" priority="6" stopIfTrue="1" operator="equal">
      <formula>"N"</formula>
    </cfRule>
  </conditionalFormatting>
  <conditionalFormatting sqref="C436:L442">
    <cfRule type="cellIs" dxfId="7" priority="14" operator="equal">
      <formula>"Y"</formula>
    </cfRule>
    <cfRule type="cellIs" dxfId="6" priority="15" stopIfTrue="1" operator="equal">
      <formula>"N"</formula>
    </cfRule>
  </conditionalFormatting>
  <conditionalFormatting sqref="C528:L528">
    <cfRule type="cellIs" dxfId="5" priority="11" operator="equal">
      <formula>"Y"</formula>
    </cfRule>
    <cfRule type="cellIs" dxfId="4" priority="12" stopIfTrue="1" operator="equal">
      <formula>"N"</formula>
    </cfRule>
  </conditionalFormatting>
  <conditionalFormatting sqref="C579:L579">
    <cfRule type="cellIs" dxfId="3" priority="2" stopIfTrue="1" operator="equal">
      <formula>"N"</formula>
    </cfRule>
    <cfRule type="cellIs" dxfId="2" priority="1" operator="equal">
      <formula>"Y"</formula>
    </cfRule>
  </conditionalFormatting>
  <conditionalFormatting sqref="E135:J139 E129:J133 E141:J145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8:AC156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3:H22 H16:L22">
    <cfRule type="cellIs" dxfId="1" priority="8" stopIfTrue="1" operator="equal">
      <formula>"N"</formula>
    </cfRule>
    <cfRule type="cellIs" dxfId="0" priority="7" operator="equal">
      <formula>"Y"</formula>
    </cfRule>
  </conditionalFormatting>
  <conditionalFormatting sqref="K129:O13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5:O139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1:O14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29:U133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35:U139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141:U14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318:S321">
    <cfRule type="dataBar" priority="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{D0B92032-F06A-5849-B2AA-C11893D2EC93}</x14:id>
        </ext>
      </extLst>
    </cfRule>
  </conditionalFormatting>
  <conditionalFormatting sqref="T318:T321">
    <cfRule type="dataBar" priority="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{74DE19E7-B112-4349-9868-5E862D884128}</x14:id>
        </ext>
      </extLst>
    </cfRule>
  </conditionalFormatting>
  <conditionalFormatting sqref="U318:U321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{08336713-57A1-6E43-8B33-C083F60D2AB9}</x14:id>
        </ext>
      </extLst>
    </cfRule>
  </conditionalFormatting>
  <conditionalFormatting sqref="U179:AC203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318:V321">
    <cfRule type="dataBar" priority="6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{98955683-FC8F-9A4A-8605-8F05CC37C887}</x14:id>
        </ext>
      </extLst>
    </cfRule>
  </conditionalFormatting>
  <conditionalFormatting sqref="X318:AA321">
    <cfRule type="dataBar" priority="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{20B7E21F-CAC7-AA4C-94D0-D297D1F2AFF0}</x14:id>
        </ext>
      </extLst>
    </cfRule>
  </conditionalFormatting>
  <conditionalFormatting sqref="Y480:Y499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{0DC11905-B082-1445-9B90-0F53BAEBD19E}</x14:id>
        </ext>
      </extLst>
    </cfRule>
  </conditionalFormatting>
  <conditionalFormatting sqref="Z383:Z391">
    <cfRule type="colorScale" priority="16">
      <colorScale>
        <cfvo type="num" val="0"/>
        <cfvo type="num" val="1"/>
        <color theme="1"/>
        <color theme="0"/>
      </colorScale>
    </cfRule>
  </conditionalFormatting>
  <conditionalFormatting sqref="AA383:AH390">
    <cfRule type="colorScale" priority="18">
      <colorScale>
        <cfvo type="num" val="0"/>
        <cfvo type="num" val="1"/>
        <color theme="1"/>
        <color theme="0"/>
      </colorScale>
    </cfRule>
  </conditionalFormatting>
  <conditionalFormatting sqref="AA391:AH391">
    <cfRule type="colorScale" priority="17">
      <colorScale>
        <cfvo type="num" val="0"/>
        <cfvo type="num" val="1"/>
        <color theme="1"/>
        <color theme="0"/>
      </colorScale>
    </cfRule>
  </conditionalFormatting>
  <conditionalFormatting sqref="AE164:AG166">
    <cfRule type="colorScale" priority="27">
      <colorScale>
        <cfvo type="min"/>
        <cfvo type="max"/>
        <color rgb="FF63BE7B"/>
        <color rgb="FFFFEF9C"/>
      </colorScale>
    </cfRule>
  </conditionalFormatting>
  <conditionalFormatting sqref="AE116:AI120">
    <cfRule type="colorScale" priority="37">
      <colorScale>
        <cfvo type="min"/>
        <cfvo type="max"/>
        <color theme="1" tint="0.34998626667073579"/>
        <color rgb="FFFCFCFF"/>
      </colorScale>
    </cfRule>
  </conditionalFormatting>
  <conditionalFormatting sqref="AE206:AI210">
    <cfRule type="colorScale" priority="30">
      <colorScale>
        <cfvo type="min"/>
        <cfvo type="max"/>
        <color theme="1" tint="0.34998626667073579"/>
        <color rgb="FFFCFCFF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B92032-F06A-5849-B2AA-C11893D2EC9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S318:S321</xm:sqref>
        </x14:conditionalFormatting>
        <x14:conditionalFormatting xmlns:xm="http://schemas.microsoft.com/office/excel/2006/main">
          <x14:cfRule type="dataBar" id="{74DE19E7-B112-4349-9868-5E862D88412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T318:T321</xm:sqref>
        </x14:conditionalFormatting>
        <x14:conditionalFormatting xmlns:xm="http://schemas.microsoft.com/office/excel/2006/main">
          <x14:cfRule type="dataBar" id="{08336713-57A1-6E43-8B33-C083F60D2A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U318:U321</xm:sqref>
        </x14:conditionalFormatting>
        <x14:conditionalFormatting xmlns:xm="http://schemas.microsoft.com/office/excel/2006/main">
          <x14:cfRule type="dataBar" id="{98955683-FC8F-9A4A-8605-8F05CC37C8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V318:V321</xm:sqref>
        </x14:conditionalFormatting>
        <x14:conditionalFormatting xmlns:xm="http://schemas.microsoft.com/office/excel/2006/main">
          <x14:cfRule type="dataBar" id="{20B7E21F-CAC7-AA4C-94D0-D297D1F2A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X318:AA321</xm:sqref>
        </x14:conditionalFormatting>
        <x14:conditionalFormatting xmlns:xm="http://schemas.microsoft.com/office/excel/2006/main">
          <x14:cfRule type="dataBar" id="{0DC11905-B082-1445-9B90-0F53BAEBD19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Y480:Y499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2025-02-06T19:50:07Z</dcterms:created>
  <dcterms:modified xsi:type="dcterms:W3CDTF">2025-05-05T01:44:41Z</dcterms:modified>
  <cp:category/>
  <cp:contentStatus/>
</cp:coreProperties>
</file>